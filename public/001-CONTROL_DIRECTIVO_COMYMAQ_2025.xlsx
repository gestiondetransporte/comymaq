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amreyna/Desktop/"/>
    </mc:Choice>
  </mc:AlternateContent>
  <xr:revisionPtr revIDLastSave="0" documentId="8_{B24B2580-AE3F-6040-9951-D9F33A349A10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LISTA DE PRECIOS POR MODELO" sheetId="7" r:id="rId1"/>
  </sheets>
  <definedNames>
    <definedName name="_xlnm._FilterDatabase" localSheetId="0">'LISTA DE PRECIOS POR MODELO'!$A$1:$I$145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2" i="7" l="1"/>
  <c r="G152" i="7" s="1"/>
  <c r="I151" i="7"/>
  <c r="H151" i="7" s="1"/>
  <c r="I150" i="7"/>
  <c r="H150" i="7" s="1"/>
  <c r="I149" i="7"/>
  <c r="H149" i="7" s="1"/>
  <c r="I148" i="7"/>
  <c r="H148" i="7" s="1"/>
  <c r="I147" i="7"/>
  <c r="G147" i="7" s="1"/>
  <c r="I146" i="7"/>
  <c r="H146" i="7" s="1"/>
  <c r="I145" i="7"/>
  <c r="H145" i="7" s="1"/>
  <c r="I144" i="7"/>
  <c r="H144" i="7" s="1"/>
  <c r="I143" i="7"/>
  <c r="H143" i="7" s="1"/>
  <c r="I142" i="7"/>
  <c r="G142" i="7" s="1"/>
  <c r="I141" i="7"/>
  <c r="G141" i="7" s="1"/>
  <c r="I140" i="7"/>
  <c r="H140" i="7" s="1"/>
  <c r="I139" i="7"/>
  <c r="G139" i="7" s="1"/>
  <c r="I138" i="7"/>
  <c r="G138" i="7" s="1"/>
  <c r="I137" i="7"/>
  <c r="H137" i="7" s="1"/>
  <c r="I136" i="7"/>
  <c r="H136" i="7" s="1"/>
  <c r="I135" i="7"/>
  <c r="H135" i="7" s="1"/>
  <c r="I134" i="7"/>
  <c r="G134" i="7" s="1"/>
  <c r="I133" i="7"/>
  <c r="G133" i="7" s="1"/>
  <c r="I132" i="7"/>
  <c r="H132" i="7" s="1"/>
  <c r="I131" i="7"/>
  <c r="G131" i="7" s="1"/>
  <c r="I130" i="7"/>
  <c r="G130" i="7" s="1"/>
  <c r="I129" i="7"/>
  <c r="G129" i="7" s="1"/>
  <c r="I128" i="7"/>
  <c r="G128" i="7" s="1"/>
  <c r="I127" i="7"/>
  <c r="G127" i="7" s="1"/>
  <c r="I126" i="7"/>
  <c r="G126" i="7" s="1"/>
  <c r="I125" i="7"/>
  <c r="G125" i="7" s="1"/>
  <c r="I124" i="7"/>
  <c r="G124" i="7" s="1"/>
  <c r="I123" i="7"/>
  <c r="G123" i="7" s="1"/>
  <c r="I122" i="7"/>
  <c r="G122" i="7" s="1"/>
  <c r="I121" i="7"/>
  <c r="G121" i="7" s="1"/>
  <c r="G146" i="7" l="1"/>
  <c r="H147" i="7"/>
  <c r="G151" i="7"/>
  <c r="H152" i="7"/>
  <c r="G150" i="7"/>
  <c r="G149" i="7"/>
  <c r="G148" i="7"/>
  <c r="G140" i="7"/>
  <c r="H134" i="7"/>
  <c r="H133" i="7"/>
  <c r="G137" i="7"/>
  <c r="H142" i="7"/>
  <c r="H138" i="7"/>
  <c r="G144" i="7"/>
  <c r="G132" i="7"/>
  <c r="G136" i="7"/>
  <c r="H141" i="7"/>
  <c r="G145" i="7"/>
  <c r="G143" i="7"/>
  <c r="H131" i="7"/>
  <c r="H139" i="7"/>
  <c r="G135" i="7"/>
  <c r="H127" i="7"/>
  <c r="H126" i="7"/>
  <c r="H125" i="7"/>
  <c r="H124" i="7"/>
  <c r="H123" i="7"/>
  <c r="H122" i="7"/>
  <c r="H129" i="7"/>
  <c r="H121" i="7"/>
  <c r="H128" i="7"/>
  <c r="H130" i="7"/>
  <c r="A2" i="7" l="1" a="1"/>
  <c r="A2" i="7" s="1"/>
  <c r="I2" i="7"/>
  <c r="I3" i="7"/>
  <c r="H3" i="7" s="1"/>
  <c r="I4" i="7"/>
  <c r="H4" i="7" s="1"/>
  <c r="I5" i="7"/>
  <c r="H5" i="7" s="1"/>
  <c r="I6" i="7"/>
  <c r="I7" i="7"/>
  <c r="I8" i="7"/>
  <c r="I9" i="7"/>
  <c r="I10" i="7"/>
  <c r="I11" i="7"/>
  <c r="H11" i="7" s="1"/>
  <c r="I12" i="7"/>
  <c r="H12" i="7" s="1"/>
  <c r="I13" i="7"/>
  <c r="H13" i="7" s="1"/>
  <c r="I14" i="7"/>
  <c r="I15" i="7"/>
  <c r="I16" i="7"/>
  <c r="I17" i="7"/>
  <c r="I18" i="7"/>
  <c r="I19" i="7"/>
  <c r="H19" i="7" s="1"/>
  <c r="I20" i="7"/>
  <c r="H20" i="7" s="1"/>
  <c r="I21" i="7"/>
  <c r="H21" i="7" s="1"/>
  <c r="I22" i="7"/>
  <c r="I23" i="7"/>
  <c r="I24" i="7"/>
  <c r="H24" i="7" s="1"/>
  <c r="I25" i="7"/>
  <c r="I26" i="7"/>
  <c r="I27" i="7"/>
  <c r="H27" i="7" s="1"/>
  <c r="I28" i="7"/>
  <c r="H28" i="7" s="1"/>
  <c r="I29" i="7"/>
  <c r="H29" i="7" s="1"/>
  <c r="I30" i="7"/>
  <c r="I31" i="7"/>
  <c r="I32" i="7"/>
  <c r="H32" i="7" s="1"/>
  <c r="I33" i="7"/>
  <c r="I34" i="7"/>
  <c r="I35" i="7"/>
  <c r="H35" i="7" s="1"/>
  <c r="I36" i="7"/>
  <c r="H36" i="7" s="1"/>
  <c r="I37" i="7"/>
  <c r="I38" i="7"/>
  <c r="I39" i="7"/>
  <c r="I40" i="7"/>
  <c r="I41" i="7"/>
  <c r="I42" i="7"/>
  <c r="I43" i="7"/>
  <c r="H43" i="7" s="1"/>
  <c r="I44" i="7"/>
  <c r="H44" i="7" s="1"/>
  <c r="I45" i="7"/>
  <c r="H45" i="7" s="1"/>
  <c r="I46" i="7"/>
  <c r="I47" i="7"/>
  <c r="I48" i="7"/>
  <c r="I49" i="7"/>
  <c r="I50" i="7"/>
  <c r="I51" i="7"/>
  <c r="H51" i="7" s="1"/>
  <c r="I52" i="7"/>
  <c r="H52" i="7" s="1"/>
  <c r="I53" i="7"/>
  <c r="H53" i="7" s="1"/>
  <c r="I54" i="7"/>
  <c r="I55" i="7"/>
  <c r="I56" i="7"/>
  <c r="I57" i="7"/>
  <c r="I58" i="7"/>
  <c r="I59" i="7"/>
  <c r="H59" i="7" s="1"/>
  <c r="I60" i="7"/>
  <c r="H60" i="7" s="1"/>
  <c r="I61" i="7"/>
  <c r="H61" i="7" s="1"/>
  <c r="I62" i="7"/>
  <c r="I63" i="7"/>
  <c r="I64" i="7"/>
  <c r="I65" i="7"/>
  <c r="I66" i="7"/>
  <c r="I67" i="7"/>
  <c r="H67" i="7" s="1"/>
  <c r="I68" i="7"/>
  <c r="H68" i="7" s="1"/>
  <c r="I69" i="7"/>
  <c r="I70" i="7"/>
  <c r="I71" i="7"/>
  <c r="I72" i="7"/>
  <c r="I73" i="7"/>
  <c r="I74" i="7"/>
  <c r="I75" i="7"/>
  <c r="H75" i="7" s="1"/>
  <c r="I76" i="7"/>
  <c r="H76" i="7" s="1"/>
  <c r="I77" i="7"/>
  <c r="I78" i="7"/>
  <c r="I79" i="7"/>
  <c r="I80" i="7"/>
  <c r="I81" i="7"/>
  <c r="I82" i="7"/>
  <c r="I83" i="7"/>
  <c r="H83" i="7" s="1"/>
  <c r="I84" i="7"/>
  <c r="H84" i="7" s="1"/>
  <c r="I85" i="7"/>
  <c r="I86" i="7"/>
  <c r="I87" i="7"/>
  <c r="I88" i="7"/>
  <c r="I89" i="7"/>
  <c r="I90" i="7"/>
  <c r="H90" i="7" s="1"/>
  <c r="I91" i="7"/>
  <c r="H91" i="7" s="1"/>
  <c r="I92" i="7"/>
  <c r="H92" i="7" s="1"/>
  <c r="I93" i="7"/>
  <c r="I94" i="7"/>
  <c r="I95" i="7"/>
  <c r="I96" i="7"/>
  <c r="I97" i="7"/>
  <c r="I98" i="7"/>
  <c r="I99" i="7"/>
  <c r="H99" i="7" s="1"/>
  <c r="I100" i="7"/>
  <c r="H100" i="7" s="1"/>
  <c r="I101" i="7"/>
  <c r="I102" i="7"/>
  <c r="I103" i="7"/>
  <c r="I104" i="7"/>
  <c r="I105" i="7"/>
  <c r="I106" i="7"/>
  <c r="I107" i="7"/>
  <c r="H107" i="7" s="1"/>
  <c r="I108" i="7"/>
  <c r="H108" i="7" s="1"/>
  <c r="I109" i="7"/>
  <c r="I110" i="7"/>
  <c r="I111" i="7"/>
  <c r="I112" i="7"/>
  <c r="I113" i="7"/>
  <c r="I114" i="7"/>
  <c r="I115" i="7"/>
  <c r="H115" i="7" s="1"/>
  <c r="I116" i="7"/>
  <c r="H116" i="7" s="1"/>
  <c r="I117" i="7"/>
  <c r="I118" i="7"/>
  <c r="I119" i="7"/>
  <c r="I120" i="7"/>
  <c r="J1048573" i="7"/>
  <c r="G3" i="7" l="1"/>
  <c r="G115" i="7"/>
  <c r="G108" i="7"/>
  <c r="G60" i="7"/>
  <c r="G91" i="7"/>
  <c r="G29" i="7"/>
  <c r="G20" i="7"/>
  <c r="G19" i="7"/>
  <c r="G12" i="7"/>
  <c r="G116" i="7"/>
  <c r="G75" i="7"/>
  <c r="G68" i="7"/>
  <c r="G35" i="7"/>
  <c r="G59" i="7"/>
  <c r="G52" i="7"/>
  <c r="G51" i="7"/>
  <c r="G24" i="7"/>
  <c r="G90" i="7"/>
  <c r="G83" i="7"/>
  <c r="G76" i="7"/>
  <c r="G43" i="7"/>
  <c r="G36" i="7"/>
  <c r="G11" i="7"/>
  <c r="G85" i="7"/>
  <c r="H85" i="7"/>
  <c r="G79" i="7"/>
  <c r="H79" i="7"/>
  <c r="G73" i="7"/>
  <c r="H73" i="7"/>
  <c r="G54" i="7"/>
  <c r="H54" i="7"/>
  <c r="G49" i="7"/>
  <c r="H49" i="7"/>
  <c r="G31" i="7"/>
  <c r="H31" i="7"/>
  <c r="G26" i="7"/>
  <c r="H26" i="7"/>
  <c r="G14" i="7"/>
  <c r="H14" i="7"/>
  <c r="G9" i="7"/>
  <c r="H9" i="7"/>
  <c r="G109" i="7"/>
  <c r="H109" i="7"/>
  <c r="G103" i="7"/>
  <c r="H103" i="7"/>
  <c r="G97" i="7"/>
  <c r="H97" i="7"/>
  <c r="G84" i="7"/>
  <c r="G78" i="7"/>
  <c r="H78" i="7"/>
  <c r="G72" i="7"/>
  <c r="H72" i="7"/>
  <c r="G66" i="7"/>
  <c r="H66" i="7"/>
  <c r="G53" i="7"/>
  <c r="G48" i="7"/>
  <c r="H48" i="7"/>
  <c r="G30" i="7"/>
  <c r="H30" i="7"/>
  <c r="G25" i="7"/>
  <c r="H25" i="7"/>
  <c r="G13" i="7"/>
  <c r="G8" i="7"/>
  <c r="H8" i="7"/>
  <c r="G98" i="7"/>
  <c r="H98" i="7"/>
  <c r="G102" i="7"/>
  <c r="H102" i="7"/>
  <c r="G96" i="7"/>
  <c r="H96" i="7"/>
  <c r="G77" i="7"/>
  <c r="H77" i="7"/>
  <c r="G71" i="7"/>
  <c r="H71" i="7"/>
  <c r="G65" i="7"/>
  <c r="H65" i="7"/>
  <c r="G47" i="7"/>
  <c r="H47" i="7"/>
  <c r="G42" i="7"/>
  <c r="H42" i="7"/>
  <c r="G7" i="7"/>
  <c r="H7" i="7"/>
  <c r="G2" i="7"/>
  <c r="H2" i="7"/>
  <c r="G101" i="7"/>
  <c r="H101" i="7"/>
  <c r="G95" i="7"/>
  <c r="H95" i="7"/>
  <c r="G70" i="7"/>
  <c r="H70" i="7"/>
  <c r="G64" i="7"/>
  <c r="H64" i="7"/>
  <c r="G46" i="7"/>
  <c r="H46" i="7"/>
  <c r="G41" i="7"/>
  <c r="H41" i="7"/>
  <c r="G6" i="7"/>
  <c r="H6" i="7"/>
  <c r="G104" i="7"/>
  <c r="H104" i="7"/>
  <c r="G120" i="7"/>
  <c r="H120" i="7"/>
  <c r="G114" i="7"/>
  <c r="H114" i="7"/>
  <c r="G107" i="7"/>
  <c r="G100" i="7"/>
  <c r="G94" i="7"/>
  <c r="H94" i="7"/>
  <c r="G89" i="7"/>
  <c r="H89" i="7"/>
  <c r="G69" i="7"/>
  <c r="H69" i="7"/>
  <c r="G63" i="7"/>
  <c r="H63" i="7"/>
  <c r="G58" i="7"/>
  <c r="H58" i="7"/>
  <c r="G45" i="7"/>
  <c r="G40" i="7"/>
  <c r="H40" i="7"/>
  <c r="G34" i="7"/>
  <c r="H34" i="7"/>
  <c r="G28" i="7"/>
  <c r="G23" i="7"/>
  <c r="H23" i="7"/>
  <c r="G18" i="7"/>
  <c r="H18" i="7"/>
  <c r="G5" i="7"/>
  <c r="G119" i="7"/>
  <c r="H119" i="7"/>
  <c r="G113" i="7"/>
  <c r="H113" i="7"/>
  <c r="G93" i="7"/>
  <c r="H93" i="7"/>
  <c r="G88" i="7"/>
  <c r="H88" i="7"/>
  <c r="G82" i="7"/>
  <c r="H82" i="7"/>
  <c r="G62" i="7"/>
  <c r="H62" i="7"/>
  <c r="G57" i="7"/>
  <c r="H57" i="7"/>
  <c r="G39" i="7"/>
  <c r="H39" i="7"/>
  <c r="G33" i="7"/>
  <c r="H33" i="7"/>
  <c r="G22" i="7"/>
  <c r="H22" i="7"/>
  <c r="G17" i="7"/>
  <c r="H17" i="7"/>
  <c r="G118" i="7"/>
  <c r="H118" i="7"/>
  <c r="G112" i="7"/>
  <c r="H112" i="7"/>
  <c r="G106" i="7"/>
  <c r="H106" i="7"/>
  <c r="G99" i="7"/>
  <c r="G92" i="7"/>
  <c r="G87" i="7"/>
  <c r="H87" i="7"/>
  <c r="G81" i="7"/>
  <c r="H81" i="7"/>
  <c r="G61" i="7"/>
  <c r="G56" i="7"/>
  <c r="H56" i="7"/>
  <c r="G44" i="7"/>
  <c r="G38" i="7"/>
  <c r="H38" i="7"/>
  <c r="G32" i="7"/>
  <c r="G27" i="7"/>
  <c r="G21" i="7"/>
  <c r="G16" i="7"/>
  <c r="H16" i="7"/>
  <c r="G4" i="7"/>
  <c r="G110" i="7"/>
  <c r="H110" i="7"/>
  <c r="G117" i="7"/>
  <c r="H117" i="7"/>
  <c r="G111" i="7"/>
  <c r="H111" i="7"/>
  <c r="G105" i="7"/>
  <c r="H105" i="7"/>
  <c r="G86" i="7"/>
  <c r="H86" i="7"/>
  <c r="G80" i="7"/>
  <c r="H80" i="7"/>
  <c r="G74" i="7"/>
  <c r="H74" i="7"/>
  <c r="G67" i="7"/>
  <c r="G55" i="7"/>
  <c r="H55" i="7"/>
  <c r="G50" i="7"/>
  <c r="H50" i="7"/>
  <c r="G37" i="7"/>
  <c r="H37" i="7"/>
  <c r="G15" i="7"/>
  <c r="H15" i="7"/>
  <c r="G10" i="7"/>
  <c r="H1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<sst xmlns="http://schemas.openxmlformats.org/spreadsheetml/2006/main" count="574" uniqueCount="258">
  <si>
    <t>DESCRIPCION DEL EQUIPO</t>
  </si>
  <si>
    <t>MARCA</t>
  </si>
  <si>
    <t>MODELO</t>
  </si>
  <si>
    <t>ELECTRICA</t>
  </si>
  <si>
    <t>PLATAFORMA ARTICULADA ELECTRICA</t>
  </si>
  <si>
    <t>GENIE</t>
  </si>
  <si>
    <t>Z33/18</t>
  </si>
  <si>
    <t xml:space="preserve">PLATAFORMA TIPO TIJERA </t>
  </si>
  <si>
    <t>GS3246</t>
  </si>
  <si>
    <t>GS2632</t>
  </si>
  <si>
    <t>DINGLI</t>
  </si>
  <si>
    <t>JCPT1412AC</t>
  </si>
  <si>
    <t>S1412AC+</t>
  </si>
  <si>
    <t>COMBUSTIÓN</t>
  </si>
  <si>
    <t>COMPRESOR</t>
  </si>
  <si>
    <t>ATLAS COPCO</t>
  </si>
  <si>
    <t>XATS375T3</t>
  </si>
  <si>
    <t>GENERADOR DE 100KVA</t>
  </si>
  <si>
    <t>HIMOINSA</t>
  </si>
  <si>
    <t>HFW-100 T6 CEM7 VTA</t>
  </si>
  <si>
    <t>GENERADOR DE 45KVA</t>
  </si>
  <si>
    <t>HYW-45T T6 CEM7 VTA</t>
  </si>
  <si>
    <t>GS-5390 RT</t>
  </si>
  <si>
    <t>PLATAFORMA TIPO TIJERA</t>
  </si>
  <si>
    <t>PLATAFORMA TELESCOPICA ELECTRICA</t>
  </si>
  <si>
    <t>ZOOMLION</t>
  </si>
  <si>
    <t>ZT22JE</t>
  </si>
  <si>
    <t>PLATAFORMA TELESCOPICA DE COMBUSTION</t>
  </si>
  <si>
    <t>ZT20J</t>
  </si>
  <si>
    <t>LIUGONG</t>
  </si>
  <si>
    <t>CLG2030G</t>
  </si>
  <si>
    <t>HYW-45 T6</t>
  </si>
  <si>
    <t>SOLDADORA</t>
  </si>
  <si>
    <t>SHINDAIWA</t>
  </si>
  <si>
    <t>DGW400DMS</t>
  </si>
  <si>
    <t>TORRE DE ILUMINACION</t>
  </si>
  <si>
    <t>WAKER</t>
  </si>
  <si>
    <t>LTV-6L</t>
  </si>
  <si>
    <t>GS-4069 RT</t>
  </si>
  <si>
    <t>GS-4390 RT</t>
  </si>
  <si>
    <t>XAS 375</t>
  </si>
  <si>
    <t>S-60X</t>
  </si>
  <si>
    <t>S-85</t>
  </si>
  <si>
    <t>S-80X</t>
  </si>
  <si>
    <t>PLATAFORMA ARTICULADA DE COMBUSTION</t>
  </si>
  <si>
    <t>ZX-135/70</t>
  </si>
  <si>
    <t>ZA14J</t>
  </si>
  <si>
    <t>TEREX</t>
  </si>
  <si>
    <t>AL4060</t>
  </si>
  <si>
    <t>MAGNUM</t>
  </si>
  <si>
    <t>MLT3060M</t>
  </si>
  <si>
    <t>WARREN POWER SYSTEMS</t>
  </si>
  <si>
    <t>WCW64MH</t>
  </si>
  <si>
    <t>GS1930</t>
  </si>
  <si>
    <t>DGW4000MC</t>
  </si>
  <si>
    <t>AIRMAN</t>
  </si>
  <si>
    <t>PDS185S-6C2</t>
  </si>
  <si>
    <t>BA16CRT2</t>
  </si>
  <si>
    <t>SDMO</t>
  </si>
  <si>
    <t>RL6_1B</t>
  </si>
  <si>
    <t>RL4</t>
  </si>
  <si>
    <t>Z45/25J RT</t>
  </si>
  <si>
    <t>WACKER</t>
  </si>
  <si>
    <t>GEN0066</t>
  </si>
  <si>
    <t>Z60/34J</t>
  </si>
  <si>
    <t>Z30/20N</t>
  </si>
  <si>
    <t>LTN-6L</t>
  </si>
  <si>
    <t>DGW400DCM</t>
  </si>
  <si>
    <t>DGW310MC</t>
  </si>
  <si>
    <t>HIPOWER</t>
  </si>
  <si>
    <t>HW400A</t>
  </si>
  <si>
    <t>DGW400DMC</t>
  </si>
  <si>
    <t>GS4047</t>
  </si>
  <si>
    <t>JLG</t>
  </si>
  <si>
    <t>600S</t>
  </si>
  <si>
    <t>GENERADOR 25KVA</t>
  </si>
  <si>
    <t>TDK MACHINERY</t>
  </si>
  <si>
    <t>TDKGE29K</t>
  </si>
  <si>
    <t>600S GAS</t>
  </si>
  <si>
    <t>Z45/25 DC</t>
  </si>
  <si>
    <t>GENERADOR DE 120KVA</t>
  </si>
  <si>
    <t>QAS120</t>
  </si>
  <si>
    <t>KAESER</t>
  </si>
  <si>
    <t>M100</t>
  </si>
  <si>
    <t>GEN0068</t>
  </si>
  <si>
    <t>450AJ</t>
  </si>
  <si>
    <t>GS-4069 DC</t>
  </si>
  <si>
    <t>Z45/25J DC</t>
  </si>
  <si>
    <t>GENERADOR</t>
  </si>
  <si>
    <t>HFW - 100 T6</t>
  </si>
  <si>
    <t>E450AJ</t>
  </si>
  <si>
    <t>RL4000</t>
  </si>
  <si>
    <t>Z45/25 RT</t>
  </si>
  <si>
    <t>LGMG</t>
  </si>
  <si>
    <t>S4046EII</t>
  </si>
  <si>
    <t>RETROEXCAVADORA</t>
  </si>
  <si>
    <t>MANITOU</t>
  </si>
  <si>
    <t>MBL - X - 920</t>
  </si>
  <si>
    <t>PLATAFORMA TIJERA</t>
  </si>
  <si>
    <t>PLATAFORMA TELESCOPICA</t>
  </si>
  <si>
    <t>S60</t>
  </si>
  <si>
    <t>XAS375</t>
  </si>
  <si>
    <t>GENERADOR DE 65KVA</t>
  </si>
  <si>
    <t>HJW-55 T6 55KW</t>
  </si>
  <si>
    <t>HYW-45 T6 INS</t>
  </si>
  <si>
    <t xml:space="preserve">MONTACARGAS </t>
  </si>
  <si>
    <t>LONKING</t>
  </si>
  <si>
    <t>LG30GLT</t>
  </si>
  <si>
    <t>NORTE</t>
  </si>
  <si>
    <t>GS-4069DC</t>
  </si>
  <si>
    <t>35GLT</t>
  </si>
  <si>
    <t>L30GLT</t>
  </si>
  <si>
    <t>GENERADOR DE 35KVA</t>
  </si>
  <si>
    <t>HYW - T6 INS 60 HZ</t>
  </si>
  <si>
    <t>HYW - 45 T6 INS 60 HZ</t>
  </si>
  <si>
    <t>LG50DT</t>
  </si>
  <si>
    <t>600AJ 4WD</t>
  </si>
  <si>
    <t>BA16NE</t>
  </si>
  <si>
    <t>LG25GLT</t>
  </si>
  <si>
    <t>GENERADOR 20KVA</t>
  </si>
  <si>
    <t>ONIS VISA</t>
  </si>
  <si>
    <t xml:space="preserve">P21CK </t>
  </si>
  <si>
    <t>ZA20J</t>
  </si>
  <si>
    <t>ZS0607AC - LI</t>
  </si>
  <si>
    <t>4069LE</t>
  </si>
  <si>
    <t>MANIPULADOR TELESCOPICO</t>
  </si>
  <si>
    <t>SANY</t>
  </si>
  <si>
    <t>STH1056A5</t>
  </si>
  <si>
    <t>GS-2632</t>
  </si>
  <si>
    <t>GS3232</t>
  </si>
  <si>
    <t>Z-80/60</t>
  </si>
  <si>
    <t>GTH-844</t>
  </si>
  <si>
    <t xml:space="preserve">UNIPERSONAL </t>
  </si>
  <si>
    <t>GTWY14-1300DC</t>
  </si>
  <si>
    <t xml:space="preserve">GS-5390 </t>
  </si>
  <si>
    <t>GTWY11-1300DC</t>
  </si>
  <si>
    <t>PLATAFORMA ARTICULADA HIBRIDA</t>
  </si>
  <si>
    <t>BA20CHRT2</t>
  </si>
  <si>
    <t>JCPT1612AC</t>
  </si>
  <si>
    <t>ZA10RJE</t>
  </si>
  <si>
    <t>S1008AC+</t>
  </si>
  <si>
    <t>JCPT0807AC LI</t>
  </si>
  <si>
    <t>CONTENEDOR 20 FT</t>
  </si>
  <si>
    <t>8X20</t>
  </si>
  <si>
    <t>TIPO</t>
  </si>
  <si>
    <t>Z34/22</t>
  </si>
  <si>
    <t>CP1240</t>
  </si>
  <si>
    <t>CHICAGO PNEUMATICS</t>
  </si>
  <si>
    <t>ROMPEDORA</t>
  </si>
  <si>
    <t>Z34/22DC</t>
  </si>
  <si>
    <t>Z34/22N</t>
  </si>
  <si>
    <t>EC600SJP</t>
  </si>
  <si>
    <t>7FGU80</t>
  </si>
  <si>
    <t>HYSTER</t>
  </si>
  <si>
    <t>MONTACARGAS HYSTER DE 36,000 LIBRAS</t>
  </si>
  <si>
    <t>TOYOTA</t>
  </si>
  <si>
    <t>MONTACARGAS TOYOYA DE 15,000 LIBRAS</t>
  </si>
  <si>
    <t>FG40ZT-8</t>
  </si>
  <si>
    <t>KOMATSU</t>
  </si>
  <si>
    <t>MONTACARGAS KOMATSU DE 12,000 LIBRAS</t>
  </si>
  <si>
    <t>FG40ZT-6</t>
  </si>
  <si>
    <t>MONTACARGAS KOMATSU DE 6,000 LIBRAS</t>
  </si>
  <si>
    <t>GLP50</t>
  </si>
  <si>
    <t>YALE</t>
  </si>
  <si>
    <t>MONTACARGAS DUAL GAS / GASOLINA DE 5,000 LBS.</t>
  </si>
  <si>
    <t>S175</t>
  </si>
  <si>
    <t>BOBCAT</t>
  </si>
  <si>
    <t>MINICARGADOR FRONTAL</t>
  </si>
  <si>
    <t>CAP 270</t>
  </si>
  <si>
    <t>MASTER BLACK</t>
  </si>
  <si>
    <t>OLLA DE SAND BLAST DE 270 KILOS</t>
  </si>
  <si>
    <t>CP 1240</t>
  </si>
  <si>
    <t>CHICAGO PNEUMATIC</t>
  </si>
  <si>
    <t>PISTOLA ROMPEDORA NEUMATICA DE 42 KILOS</t>
  </si>
  <si>
    <t>400SW</t>
  </si>
  <si>
    <t>MAQUINA DE SOLDAR DE DIESEL</t>
  </si>
  <si>
    <t>300SW</t>
  </si>
  <si>
    <t>RANGER 250</t>
  </si>
  <si>
    <t>MILLER</t>
  </si>
  <si>
    <t>MAQUINA DE SOLDAR DE GASOLINA</t>
  </si>
  <si>
    <t>GENERADOR DE 120 KW</t>
  </si>
  <si>
    <t>HYW 45</t>
  </si>
  <si>
    <t>GENERADOR DE 45 KW</t>
  </si>
  <si>
    <t>QAS25</t>
  </si>
  <si>
    <t>GENERADOR DE 20 KW</t>
  </si>
  <si>
    <t>PDS375</t>
  </si>
  <si>
    <t>COMPRESOR 375</t>
  </si>
  <si>
    <t>PDS185</t>
  </si>
  <si>
    <t>COMPRESOR 185</t>
  </si>
  <si>
    <t>GENIE Y TEREX</t>
  </si>
  <si>
    <t xml:space="preserve">TORRE DE ILUMINACION </t>
  </si>
  <si>
    <t>AWP40</t>
  </si>
  <si>
    <t>PLATAFORMA PERSONAL AWP 40</t>
  </si>
  <si>
    <t>PLATAFORMA ARTICULADA DE COMBUSTION DE 135 PIES</t>
  </si>
  <si>
    <t>S125</t>
  </si>
  <si>
    <t>PLATAFORMA ARTICULADA DE COMBUSTION DE 125 PIES</t>
  </si>
  <si>
    <t>S105</t>
  </si>
  <si>
    <t>PLATAFORMA ARTICULADA DE COMBUSTION DE 105 PIES</t>
  </si>
  <si>
    <t>S85X</t>
  </si>
  <si>
    <t>PLATAFORMA ARTICULADA DE COMBUSTION DE 80 PIES</t>
  </si>
  <si>
    <t>S80X</t>
  </si>
  <si>
    <t>Z80/60</t>
  </si>
  <si>
    <t>Z60/37J DC</t>
  </si>
  <si>
    <t>PLATAFORMA ARTICULADA ELECTRICA DE 60 PIES</t>
  </si>
  <si>
    <t>Z62/40</t>
  </si>
  <si>
    <t>PLATAFORMA ARTICULADA DE COMBUSTION DE 60 PIES</t>
  </si>
  <si>
    <t>Z60/34</t>
  </si>
  <si>
    <t>PLATAFORMA ARTICULADA DE COMBUSTION DE 45 PIES</t>
  </si>
  <si>
    <t>PLATAFORMA ARTICULADA ELECTRICA DE 45 PIES</t>
  </si>
  <si>
    <t>PLATAFORMA ARTICULADA ELECTRICA DE 33 PIES</t>
  </si>
  <si>
    <t>GS5390</t>
  </si>
  <si>
    <t>PLATAFORMA DE TIJERA A COMBUSTION DE 53 PIES</t>
  </si>
  <si>
    <t>GS4390</t>
  </si>
  <si>
    <t>PLATAFORMA DE TIJERA A COMBUSTION DE 40 PIES</t>
  </si>
  <si>
    <t>GS4069 DC</t>
  </si>
  <si>
    <t>PLATAFORMA DE TIJERA ELECTRICA DE 40 PIES</t>
  </si>
  <si>
    <t>GS4069 RT</t>
  </si>
  <si>
    <t>PLATAFORMA DE TIJERA DE 40 PIES DE ALTURA</t>
  </si>
  <si>
    <t>GS4047 DC</t>
  </si>
  <si>
    <t>GS2032</t>
  </si>
  <si>
    <t>PLATAFORMA DE TIJERA DE 19 Y 20 PIES DE ALTURA</t>
  </si>
  <si>
    <t>19-30</t>
  </si>
  <si>
    <t>BRAVI</t>
  </si>
  <si>
    <t>PLATAFORMA DE TIJERA DE 19 PIES DE ALTURA</t>
  </si>
  <si>
    <t>GLP50MX</t>
  </si>
  <si>
    <t>MONTACARGAS DE 5 MIL LIBRAS</t>
  </si>
  <si>
    <t>MONTACARGAS 6 MIL LBS</t>
  </si>
  <si>
    <t>GS - 4047</t>
  </si>
  <si>
    <t>A30JE</t>
  </si>
  <si>
    <t>MONTACARGAS 7 MIL LBS</t>
  </si>
  <si>
    <t>8FG35U</t>
  </si>
  <si>
    <t>MONTACARGAS DE 8 MIL LIBRAS</t>
  </si>
  <si>
    <t>GC45KSWB</t>
  </si>
  <si>
    <t>CATERPILLAR</t>
  </si>
  <si>
    <t>7FGU35</t>
  </si>
  <si>
    <t>MONTACRGAS DE 7 MIL LIBRAS</t>
  </si>
  <si>
    <t>XP375WIR</t>
  </si>
  <si>
    <t>INGERSOLL RAND</t>
  </si>
  <si>
    <t>160D-7E</t>
  </si>
  <si>
    <t>HYUNDAI</t>
  </si>
  <si>
    <t>MONTACARGAS 36 MIL LBS</t>
  </si>
  <si>
    <t>S120 FT</t>
  </si>
  <si>
    <t>MONTACARGAS 12 LBS</t>
  </si>
  <si>
    <t>MONTACARGAS 8 MIL LBS</t>
  </si>
  <si>
    <t>600A</t>
  </si>
  <si>
    <t>LUI HD WD</t>
  </si>
  <si>
    <t>BRAVI-LUI MINI</t>
  </si>
  <si>
    <t>SLT-88D</t>
  </si>
  <si>
    <t>AETOS</t>
  </si>
  <si>
    <t>MONTACARGAS 6 MIL LIBRAS</t>
  </si>
  <si>
    <t>EXTNTOR</t>
  </si>
  <si>
    <t>FLETE</t>
  </si>
  <si>
    <t>PRECIO DIARIO</t>
  </si>
  <si>
    <t>PRECIO 1 SEMANA</t>
  </si>
  <si>
    <t>PRECIO 2 SEMANAS</t>
  </si>
  <si>
    <t>PRECIO MENSUAL</t>
  </si>
  <si>
    <t>CONSECUTIVO</t>
  </si>
  <si>
    <t>CIEMMOBIL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</si>
</sst>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7" formatCode="_(* #,##0.00_);_(* \(#,##0.00\);_(* &quot;-&quot;??_);_(@_)"/>
    <numFmt numFmtId="171" formatCode="&quot; &quot;#,##0.00&quot; &quot;[$€-C0A]&quot; &quot;;&quot;-&quot;#,##0.00&quot; &quot;[$€-C0A]&quot; &quot;;&quot; -&quot;00&quot; &quot;[$€-C0A]&quot; &quot;;&quot; &quot;@&quot; &quot;"/>
    <numFmt numFmtId="172" formatCode="_-[$$-80A]* #,##0.00_-;\-[$$-80A]* #,##0.00_-;_-[$$-80A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0"/>
    <xf numFmtId="171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4"/>
    <xf numFmtId="44" fontId="3" fillId="0" borderId="0" xfId="1" applyFont="1"/>
    <xf numFmtId="172" fontId="0" fillId="0" borderId="0" xfId="5" applyNumberFormat="1" applyFont="1"/>
    <xf numFmtId="0" fontId="3" fillId="0" borderId="0" xfId="4" applyAlignment="1">
      <alignment horizontal="center"/>
    </xf>
    <xf numFmtId="172" fontId="0" fillId="3" borderId="0" xfId="5" applyNumberFormat="1" applyFont="1" applyFill="1"/>
    <xf numFmtId="0" fontId="3" fillId="3" borderId="0" xfId="4" applyFill="1"/>
    <xf numFmtId="0" fontId="3" fillId="3" borderId="0" xfId="4" applyFill="1" applyAlignment="1">
      <alignment horizontal="center"/>
    </xf>
    <xf numFmtId="172" fontId="0" fillId="0" borderId="1" xfId="5" applyNumberFormat="1" applyFont="1" applyBorder="1"/>
    <xf numFmtId="172" fontId="0" fillId="2" borderId="1" xfId="5" applyNumberFormat="1" applyFont="1" applyFill="1" applyBorder="1"/>
    <xf numFmtId="0" fontId="2" fillId="2" borderId="1" xfId="4" applyFont="1" applyFill="1" applyBorder="1" applyAlignment="1">
      <alignment horizontal="center"/>
    </xf>
    <xf numFmtId="0" fontId="2" fillId="2" borderId="1" xfId="4" applyFont="1" applyFill="1" applyBorder="1" applyAlignment="1">
      <alignment horizontal="left"/>
    </xf>
    <xf numFmtId="0" fontId="3" fillId="2" borderId="0" xfId="4" applyFill="1" applyAlignment="1">
      <alignment horizontal="center"/>
    </xf>
    <xf numFmtId="172" fontId="0" fillId="3" borderId="1" xfId="5" applyNumberFormat="1" applyFont="1" applyFill="1" applyBorder="1"/>
    <xf numFmtId="0" fontId="2" fillId="3" borderId="1" xfId="4" applyFont="1" applyFill="1" applyBorder="1" applyAlignment="1">
      <alignment horizontal="center"/>
    </xf>
    <xf numFmtId="0" fontId="2" fillId="3" borderId="1" xfId="4" applyFont="1" applyFill="1" applyBorder="1" applyAlignment="1">
      <alignment horizontal="left"/>
    </xf>
    <xf numFmtId="0" fontId="3" fillId="2" borderId="1" xfId="4" applyFill="1" applyBorder="1" applyAlignment="1">
      <alignment horizontal="center"/>
    </xf>
    <xf numFmtId="0" fontId="3" fillId="3" borderId="1" xfId="4" applyFill="1" applyBorder="1" applyAlignment="1">
      <alignment horizontal="center"/>
    </xf>
    <xf numFmtId="0" fontId="4" fillId="3" borderId="1" xfId="4" applyFont="1" applyFill="1" applyBorder="1" applyAlignment="1">
      <alignment horizontal="center"/>
    </xf>
    <xf numFmtId="172" fontId="5" fillId="4" borderId="1" xfId="5" applyNumberFormat="1" applyFont="1" applyFill="1" applyBorder="1" applyAlignment="1">
      <alignment horizontal="center" vertical="center" wrapText="1"/>
    </xf>
    <xf numFmtId="0" fontId="3" fillId="5" borderId="1" xfId="4" applyFill="1" applyBorder="1" applyAlignment="1">
      <alignment horizontal="center"/>
    </xf>
    <xf numFmtId="44" fontId="5" fillId="4" borderId="1" xfId="1" applyFont="1" applyFill="1" applyBorder="1" applyAlignment="1">
      <alignment horizontal="center" vertical="center" wrapText="1"/>
    </xf>
    <xf numFmtId="44" fontId="0" fillId="0" borderId="1" xfId="1" applyFont="1" applyBorder="1"/>
  </cellXfs>
  <cellStyles count="7">
    <cellStyle name="Millares 2" xfId="3" xr:uid="{7A2FEA32-7970-4F27-8A11-6172DBD2B93E}"/>
    <cellStyle name="Moneda" xfId="1" builtinId="4"/>
    <cellStyle name="Moneda 2" xfId="2" xr:uid="{16970C62-1C4D-4340-B5B1-A794DD3B93D5}"/>
    <cellStyle name="Moneda 2 2" xfId="5" xr:uid="{CF7EC25F-6EC5-41F5-ACAD-39FBE1350D55}"/>
    <cellStyle name="Moneda 2 3" xfId="6" xr:uid="{2E2314DC-3D08-45CD-92F3-A83F02A8F29D}"/>
    <cellStyle name="Normal" xfId="0" builtinId="0"/>
    <cellStyle name="Normal 2" xfId="4" xr:uid="{18C51A23-8DB8-42C9-BE0E-F8A5F46988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1C3D-CD1C-4F41-8942-7CF5EFDBFF75}">
  <dimension ref="A1:K1048573"/>
  <sheetViews>
    <sheetView tabSelected="1" workbookViewId="0">
      <pane ySplit="1" topLeftCell="A2" activePane="bottomLeft" state="frozen"/>
      <selection pane="bottomLeft" activeCell="G24" sqref="G24"/>
    </sheetView>
  </sheetViews>
  <sheetFormatPr baseColWidth="10" defaultRowHeight="15" x14ac:dyDescent="0.2"/>
  <cols>
    <col min="1" max="1" width="12.83203125" style="4" bestFit="1" customWidth="1"/>
    <col min="2" max="2" width="48.1640625" style="1" bestFit="1" customWidth="1"/>
    <col min="3" max="3" width="23" style="1" bestFit="1" customWidth="1"/>
    <col min="4" max="4" width="12.83203125" style="1" bestFit="1" customWidth="1"/>
    <col min="5" max="5" width="12.5" style="1" bestFit="1" customWidth="1"/>
    <col min="6" max="6" width="12.1640625" style="3" bestFit="1" customWidth="1"/>
    <col min="7" max="7" width="11.1640625" style="2" bestFit="1" customWidth="1"/>
    <col min="8" max="8" width="12.1640625" style="2" bestFit="1" customWidth="1"/>
    <col min="9" max="9" width="13.5" style="2" bestFit="1" customWidth="1"/>
    <col min="10" max="10" width="12.1640625" style="2" bestFit="1" customWidth="1"/>
    <col min="11" max="11" width="10.83203125" style="2"/>
    <col min="12" max="16384" width="10.83203125" style="1"/>
  </cols>
  <sheetData>
    <row r="1" spans="1:11" ht="32" x14ac:dyDescent="0.2">
      <c r="A1" s="20" t="s">
        <v>256</v>
      </c>
      <c r="B1" s="20" t="s">
        <v>0</v>
      </c>
      <c r="C1" s="20" t="s">
        <v>1</v>
      </c>
      <c r="D1" s="20" t="s">
        <v>2</v>
      </c>
      <c r="E1" s="20" t="s">
        <v>144</v>
      </c>
      <c r="F1" s="19" t="s">
        <v>255</v>
      </c>
      <c r="G1" s="21" t="s">
        <v>252</v>
      </c>
      <c r="H1" s="21" t="s">
        <v>254</v>
      </c>
      <c r="I1" s="21" t="s">
        <v>253</v>
      </c>
      <c r="J1" s="2" t="s">
        <v>251</v>
      </c>
      <c r="K1" s="2" t="s">
        <v>250</v>
      </c>
    </row>
    <row r="2" spans="1:11" x14ac:dyDescent="0.2">
      <c r="A2" s="18" cm="1">
        <f t="array" ref="A2:A152">_xlfn.SEQUENCE(COUNTA(D2:D198))</f>
        <v>1</v>
      </c>
      <c r="B2" s="15" t="s">
        <v>249</v>
      </c>
      <c r="C2" s="15" t="s">
        <v>29</v>
      </c>
      <c r="D2" s="15" t="s">
        <v>30</v>
      </c>
      <c r="E2" s="14" t="s">
        <v>13</v>
      </c>
      <c r="F2" s="13">
        <v>32000</v>
      </c>
      <c r="G2" s="22">
        <f>I2/4</f>
        <v>2666.6666666666665</v>
      </c>
      <c r="H2" s="8">
        <f>+I2*2</f>
        <v>21333.333333333332</v>
      </c>
      <c r="I2" s="22">
        <f t="shared" ref="I2:I33" si="0">F2/3</f>
        <v>10666.666666666666</v>
      </c>
      <c r="J2" s="2">
        <v>4000</v>
      </c>
      <c r="K2" s="2">
        <v>720</v>
      </c>
    </row>
    <row r="3" spans="1:11" x14ac:dyDescent="0.2">
      <c r="A3" s="17">
        <v>2</v>
      </c>
      <c r="B3" s="15" t="s">
        <v>20</v>
      </c>
      <c r="C3" s="15" t="s">
        <v>18</v>
      </c>
      <c r="D3" s="15" t="s">
        <v>31</v>
      </c>
      <c r="E3" s="14" t="s">
        <v>13</v>
      </c>
      <c r="F3" s="13">
        <v>33000</v>
      </c>
      <c r="G3" s="22">
        <f>I3/4</f>
        <v>2750</v>
      </c>
      <c r="H3" s="22">
        <f t="shared" ref="H3:H66" si="1">+I3*2</f>
        <v>22000</v>
      </c>
      <c r="I3" s="22">
        <f t="shared" si="0"/>
        <v>11000</v>
      </c>
      <c r="J3" s="2">
        <v>4000</v>
      </c>
      <c r="K3" s="2">
        <v>720</v>
      </c>
    </row>
    <row r="4" spans="1:11" x14ac:dyDescent="0.2">
      <c r="A4" s="17">
        <v>3</v>
      </c>
      <c r="B4" s="15" t="s">
        <v>32</v>
      </c>
      <c r="C4" s="15" t="s">
        <v>33</v>
      </c>
      <c r="D4" s="15" t="s">
        <v>34</v>
      </c>
      <c r="E4" s="14" t="s">
        <v>13</v>
      </c>
      <c r="F4" s="13">
        <v>24000</v>
      </c>
      <c r="G4" s="22">
        <f>I4/4</f>
        <v>2000</v>
      </c>
      <c r="H4" s="8">
        <f t="shared" si="1"/>
        <v>16000</v>
      </c>
      <c r="I4" s="22">
        <f t="shared" si="0"/>
        <v>8000</v>
      </c>
      <c r="J4" s="2">
        <v>4000</v>
      </c>
      <c r="K4" s="2">
        <v>720</v>
      </c>
    </row>
    <row r="5" spans="1:11" x14ac:dyDescent="0.2">
      <c r="A5" s="17">
        <v>4</v>
      </c>
      <c r="B5" s="15" t="s">
        <v>35</v>
      </c>
      <c r="C5" s="15" t="s">
        <v>36</v>
      </c>
      <c r="D5" s="15" t="s">
        <v>37</v>
      </c>
      <c r="E5" s="14" t="s">
        <v>13</v>
      </c>
      <c r="F5" s="13">
        <v>12000</v>
      </c>
      <c r="G5" s="22">
        <f>I5/4</f>
        <v>1000</v>
      </c>
      <c r="H5" s="8">
        <f t="shared" si="1"/>
        <v>8000</v>
      </c>
      <c r="I5" s="22">
        <f t="shared" si="0"/>
        <v>4000</v>
      </c>
      <c r="J5" s="2">
        <v>4000</v>
      </c>
      <c r="K5" s="2">
        <v>720</v>
      </c>
    </row>
    <row r="6" spans="1:11" x14ac:dyDescent="0.2">
      <c r="A6" s="17">
        <v>5</v>
      </c>
      <c r="B6" s="15" t="s">
        <v>23</v>
      </c>
      <c r="C6" s="15" t="s">
        <v>5</v>
      </c>
      <c r="D6" s="15" t="s">
        <v>22</v>
      </c>
      <c r="E6" s="14" t="s">
        <v>13</v>
      </c>
      <c r="F6" s="13">
        <v>50000</v>
      </c>
      <c r="G6" s="22">
        <f>I6/4</f>
        <v>4166.666666666667</v>
      </c>
      <c r="H6" s="8">
        <f t="shared" si="1"/>
        <v>33333.333333333336</v>
      </c>
      <c r="I6" s="22">
        <f t="shared" si="0"/>
        <v>16666.666666666668</v>
      </c>
      <c r="J6" s="2">
        <v>4000</v>
      </c>
      <c r="K6" s="2">
        <v>720</v>
      </c>
    </row>
    <row r="7" spans="1:11" x14ac:dyDescent="0.2">
      <c r="A7" s="17">
        <v>6</v>
      </c>
      <c r="B7" s="15" t="s">
        <v>23</v>
      </c>
      <c r="C7" s="15" t="s">
        <v>5</v>
      </c>
      <c r="D7" s="15" t="s">
        <v>38</v>
      </c>
      <c r="E7" s="14" t="s">
        <v>13</v>
      </c>
      <c r="F7" s="13">
        <v>35000</v>
      </c>
      <c r="G7" s="22">
        <f>I7/4</f>
        <v>2916.6666666666665</v>
      </c>
      <c r="H7" s="8">
        <f t="shared" si="1"/>
        <v>23333.333333333332</v>
      </c>
      <c r="I7" s="22">
        <f t="shared" si="0"/>
        <v>11666.666666666666</v>
      </c>
      <c r="J7" s="2">
        <v>4000</v>
      </c>
      <c r="K7" s="2">
        <v>720</v>
      </c>
    </row>
    <row r="8" spans="1:11" x14ac:dyDescent="0.2">
      <c r="A8" s="17">
        <v>7</v>
      </c>
      <c r="B8" s="15" t="s">
        <v>23</v>
      </c>
      <c r="C8" s="15" t="s">
        <v>5</v>
      </c>
      <c r="D8" s="15" t="s">
        <v>86</v>
      </c>
      <c r="E8" s="14" t="s">
        <v>3</v>
      </c>
      <c r="F8" s="13">
        <v>35000</v>
      </c>
      <c r="G8" s="22">
        <f>I8/4</f>
        <v>2916.6666666666665</v>
      </c>
      <c r="H8" s="8">
        <f t="shared" si="1"/>
        <v>23333.333333333332</v>
      </c>
      <c r="I8" s="22">
        <f t="shared" si="0"/>
        <v>11666.666666666666</v>
      </c>
      <c r="J8" s="2">
        <v>4000</v>
      </c>
      <c r="K8" s="2">
        <v>720</v>
      </c>
    </row>
    <row r="9" spans="1:11" x14ac:dyDescent="0.2">
      <c r="A9" s="17">
        <v>8</v>
      </c>
      <c r="B9" s="15" t="s">
        <v>23</v>
      </c>
      <c r="C9" s="15" t="s">
        <v>5</v>
      </c>
      <c r="D9" s="15" t="s">
        <v>39</v>
      </c>
      <c r="E9" s="14" t="s">
        <v>13</v>
      </c>
      <c r="F9" s="13">
        <v>40000</v>
      </c>
      <c r="G9" s="22">
        <f>I9/4</f>
        <v>3333.3333333333335</v>
      </c>
      <c r="H9" s="8">
        <f t="shared" si="1"/>
        <v>26666.666666666668</v>
      </c>
      <c r="I9" s="22">
        <f t="shared" si="0"/>
        <v>13333.333333333334</v>
      </c>
      <c r="J9" s="2">
        <v>4000</v>
      </c>
      <c r="K9" s="2">
        <v>720</v>
      </c>
    </row>
    <row r="10" spans="1:11" x14ac:dyDescent="0.2">
      <c r="A10" s="17">
        <v>9</v>
      </c>
      <c r="B10" s="15" t="s">
        <v>14</v>
      </c>
      <c r="C10" s="15" t="s">
        <v>15</v>
      </c>
      <c r="D10" s="15" t="s">
        <v>40</v>
      </c>
      <c r="E10" s="14" t="s">
        <v>13</v>
      </c>
      <c r="F10" s="13">
        <v>51000</v>
      </c>
      <c r="G10" s="22">
        <f>I10/4</f>
        <v>4250</v>
      </c>
      <c r="H10" s="8">
        <f t="shared" si="1"/>
        <v>34000</v>
      </c>
      <c r="I10" s="22">
        <f t="shared" si="0"/>
        <v>17000</v>
      </c>
      <c r="J10" s="2">
        <v>4000</v>
      </c>
      <c r="K10" s="2">
        <v>720</v>
      </c>
    </row>
    <row r="11" spans="1:11" x14ac:dyDescent="0.2">
      <c r="A11" s="17">
        <v>10</v>
      </c>
      <c r="B11" s="15" t="s">
        <v>27</v>
      </c>
      <c r="C11" s="15" t="s">
        <v>5</v>
      </c>
      <c r="D11" s="15" t="s">
        <v>41</v>
      </c>
      <c r="E11" s="14" t="s">
        <v>13</v>
      </c>
      <c r="F11" s="13">
        <v>55000</v>
      </c>
      <c r="G11" s="22">
        <f>I11/4</f>
        <v>4583.333333333333</v>
      </c>
      <c r="H11" s="8">
        <f t="shared" si="1"/>
        <v>36666.666666666664</v>
      </c>
      <c r="I11" s="22">
        <f t="shared" si="0"/>
        <v>18333.333333333332</v>
      </c>
      <c r="J11" s="2">
        <v>4000</v>
      </c>
      <c r="K11" s="2">
        <v>720</v>
      </c>
    </row>
    <row r="12" spans="1:11" x14ac:dyDescent="0.2">
      <c r="A12" s="17">
        <v>11</v>
      </c>
      <c r="B12" s="15" t="s">
        <v>27</v>
      </c>
      <c r="C12" s="15" t="s">
        <v>5</v>
      </c>
      <c r="D12" s="15" t="s">
        <v>42</v>
      </c>
      <c r="E12" s="14" t="s">
        <v>13</v>
      </c>
      <c r="F12" s="13">
        <v>85000</v>
      </c>
      <c r="G12" s="22">
        <f>I12/4</f>
        <v>7083.333333333333</v>
      </c>
      <c r="H12" s="8">
        <f t="shared" si="1"/>
        <v>56666.666666666664</v>
      </c>
      <c r="I12" s="22">
        <f t="shared" si="0"/>
        <v>28333.333333333332</v>
      </c>
      <c r="J12" s="2">
        <v>4000</v>
      </c>
      <c r="K12" s="2">
        <v>720</v>
      </c>
    </row>
    <row r="13" spans="1:11" x14ac:dyDescent="0.2">
      <c r="A13" s="17">
        <v>12</v>
      </c>
      <c r="B13" s="15" t="s">
        <v>27</v>
      </c>
      <c r="C13" s="15" t="s">
        <v>5</v>
      </c>
      <c r="D13" s="15" t="s">
        <v>43</v>
      </c>
      <c r="E13" s="14" t="s">
        <v>13</v>
      </c>
      <c r="F13" s="13">
        <v>80000</v>
      </c>
      <c r="G13" s="22">
        <f>I13/4</f>
        <v>6666.666666666667</v>
      </c>
      <c r="H13" s="8">
        <f t="shared" si="1"/>
        <v>53333.333333333336</v>
      </c>
      <c r="I13" s="22">
        <f t="shared" si="0"/>
        <v>26666.666666666668</v>
      </c>
      <c r="J13" s="2">
        <v>4000</v>
      </c>
      <c r="K13" s="2">
        <v>720</v>
      </c>
    </row>
    <row r="14" spans="1:11" x14ac:dyDescent="0.2">
      <c r="A14" s="17">
        <v>13</v>
      </c>
      <c r="B14" s="15" t="s">
        <v>44</v>
      </c>
      <c r="C14" s="15" t="s">
        <v>5</v>
      </c>
      <c r="D14" s="15" t="s">
        <v>45</v>
      </c>
      <c r="E14" s="14" t="s">
        <v>13</v>
      </c>
      <c r="F14" s="13">
        <v>160000</v>
      </c>
      <c r="G14" s="22">
        <f>I14/4</f>
        <v>13333.333333333334</v>
      </c>
      <c r="H14" s="8">
        <f t="shared" si="1"/>
        <v>106666.66666666667</v>
      </c>
      <c r="I14" s="22">
        <f t="shared" si="0"/>
        <v>53333.333333333336</v>
      </c>
      <c r="J14" s="2">
        <v>4000</v>
      </c>
      <c r="K14" s="2">
        <v>720</v>
      </c>
    </row>
    <row r="15" spans="1:11" x14ac:dyDescent="0.2">
      <c r="A15" s="17">
        <v>14</v>
      </c>
      <c r="B15" s="15" t="s">
        <v>44</v>
      </c>
      <c r="C15" s="15" t="s">
        <v>25</v>
      </c>
      <c r="D15" s="15" t="s">
        <v>46</v>
      </c>
      <c r="E15" s="14" t="s">
        <v>13</v>
      </c>
      <c r="F15" s="13">
        <v>37000</v>
      </c>
      <c r="G15" s="22">
        <f>I15/4</f>
        <v>3083.3333333333335</v>
      </c>
      <c r="H15" s="8">
        <f t="shared" si="1"/>
        <v>24666.666666666668</v>
      </c>
      <c r="I15" s="22">
        <f t="shared" si="0"/>
        <v>12333.333333333334</v>
      </c>
      <c r="J15" s="2">
        <v>4000</v>
      </c>
      <c r="K15" s="2">
        <v>720</v>
      </c>
    </row>
    <row r="16" spans="1:11" x14ac:dyDescent="0.2">
      <c r="A16" s="17">
        <v>15</v>
      </c>
      <c r="B16" s="15" t="s">
        <v>35</v>
      </c>
      <c r="C16" s="15" t="s">
        <v>47</v>
      </c>
      <c r="D16" s="15" t="s">
        <v>48</v>
      </c>
      <c r="E16" s="14" t="s">
        <v>13</v>
      </c>
      <c r="F16" s="13">
        <v>12000</v>
      </c>
      <c r="G16" s="22">
        <f>I16/4</f>
        <v>1000</v>
      </c>
      <c r="H16" s="8">
        <f t="shared" si="1"/>
        <v>8000</v>
      </c>
      <c r="I16" s="22">
        <f t="shared" si="0"/>
        <v>4000</v>
      </c>
      <c r="J16" s="2">
        <v>4000</v>
      </c>
      <c r="K16" s="2">
        <v>720</v>
      </c>
    </row>
    <row r="17" spans="1:11" x14ac:dyDescent="0.2">
      <c r="A17" s="17">
        <v>16</v>
      </c>
      <c r="B17" s="15" t="s">
        <v>35</v>
      </c>
      <c r="C17" s="15" t="s">
        <v>49</v>
      </c>
      <c r="D17" s="15" t="s">
        <v>50</v>
      </c>
      <c r="E17" s="14" t="s">
        <v>13</v>
      </c>
      <c r="F17" s="13">
        <v>12000</v>
      </c>
      <c r="G17" s="22">
        <f>I17/4</f>
        <v>1000</v>
      </c>
      <c r="H17" s="8">
        <f t="shared" si="1"/>
        <v>8000</v>
      </c>
      <c r="I17" s="22">
        <f t="shared" si="0"/>
        <v>4000</v>
      </c>
      <c r="J17" s="2">
        <v>4000</v>
      </c>
      <c r="K17" s="2">
        <v>720</v>
      </c>
    </row>
    <row r="18" spans="1:11" x14ac:dyDescent="0.2">
      <c r="A18" s="17">
        <v>17</v>
      </c>
      <c r="B18" s="15" t="s">
        <v>35</v>
      </c>
      <c r="C18" s="15" t="s">
        <v>51</v>
      </c>
      <c r="D18" s="15" t="s">
        <v>52</v>
      </c>
      <c r="E18" s="14" t="s">
        <v>13</v>
      </c>
      <c r="F18" s="13">
        <v>12000</v>
      </c>
      <c r="G18" s="22">
        <f>I18/4</f>
        <v>1000</v>
      </c>
      <c r="H18" s="8">
        <f t="shared" si="1"/>
        <v>8000</v>
      </c>
      <c r="I18" s="22">
        <f t="shared" si="0"/>
        <v>4000</v>
      </c>
      <c r="J18" s="2">
        <v>4000</v>
      </c>
      <c r="K18" s="2">
        <v>720</v>
      </c>
    </row>
    <row r="19" spans="1:11" x14ac:dyDescent="0.2">
      <c r="A19" s="17">
        <v>18</v>
      </c>
      <c r="B19" s="15" t="s">
        <v>23</v>
      </c>
      <c r="C19" s="15" t="s">
        <v>5</v>
      </c>
      <c r="D19" s="15" t="s">
        <v>53</v>
      </c>
      <c r="E19" s="14" t="s">
        <v>3</v>
      </c>
      <c r="F19" s="13">
        <v>18000</v>
      </c>
      <c r="G19" s="22">
        <f>I19/4</f>
        <v>1500</v>
      </c>
      <c r="H19" s="8">
        <f t="shared" si="1"/>
        <v>12000</v>
      </c>
      <c r="I19" s="22">
        <f t="shared" si="0"/>
        <v>6000</v>
      </c>
      <c r="J19" s="2">
        <v>4000</v>
      </c>
      <c r="K19" s="2">
        <v>720</v>
      </c>
    </row>
    <row r="20" spans="1:11" x14ac:dyDescent="0.2">
      <c r="A20" s="17">
        <v>19</v>
      </c>
      <c r="B20" s="15" t="s">
        <v>32</v>
      </c>
      <c r="C20" s="15" t="s">
        <v>33</v>
      </c>
      <c r="D20" s="15" t="s">
        <v>54</v>
      </c>
      <c r="E20" s="14" t="s">
        <v>13</v>
      </c>
      <c r="F20" s="13">
        <v>24000</v>
      </c>
      <c r="G20" s="22">
        <f>I20/4</f>
        <v>2000</v>
      </c>
      <c r="H20" s="8">
        <f t="shared" si="1"/>
        <v>16000</v>
      </c>
      <c r="I20" s="22">
        <f t="shared" si="0"/>
        <v>8000</v>
      </c>
      <c r="J20" s="2">
        <v>4000</v>
      </c>
      <c r="K20" s="2">
        <v>720</v>
      </c>
    </row>
    <row r="21" spans="1:11" x14ac:dyDescent="0.2">
      <c r="A21" s="17">
        <v>20</v>
      </c>
      <c r="B21" s="15" t="s">
        <v>14</v>
      </c>
      <c r="C21" s="15" t="s">
        <v>55</v>
      </c>
      <c r="D21" s="15" t="s">
        <v>56</v>
      </c>
      <c r="E21" s="14" t="s">
        <v>13</v>
      </c>
      <c r="F21" s="13">
        <v>30000</v>
      </c>
      <c r="G21" s="22">
        <f>I21/4</f>
        <v>2500</v>
      </c>
      <c r="H21" s="8">
        <f t="shared" si="1"/>
        <v>20000</v>
      </c>
      <c r="I21" s="22">
        <f t="shared" si="0"/>
        <v>10000</v>
      </c>
      <c r="J21" s="2">
        <v>4000</v>
      </c>
      <c r="K21" s="2">
        <v>720</v>
      </c>
    </row>
    <row r="22" spans="1:11" x14ac:dyDescent="0.2">
      <c r="A22" s="17">
        <v>21</v>
      </c>
      <c r="B22" s="15" t="s">
        <v>44</v>
      </c>
      <c r="C22" s="15" t="s">
        <v>10</v>
      </c>
      <c r="D22" s="15" t="s">
        <v>57</v>
      </c>
      <c r="E22" s="14" t="s">
        <v>13</v>
      </c>
      <c r="F22" s="13">
        <v>37000</v>
      </c>
      <c r="G22" s="22">
        <f>I22/4</f>
        <v>3083.3333333333335</v>
      </c>
      <c r="H22" s="8">
        <f t="shared" si="1"/>
        <v>24666.666666666668</v>
      </c>
      <c r="I22" s="22">
        <f t="shared" si="0"/>
        <v>12333.333333333334</v>
      </c>
      <c r="J22" s="2">
        <v>4000</v>
      </c>
      <c r="K22" s="2">
        <v>720</v>
      </c>
    </row>
    <row r="23" spans="1:11" x14ac:dyDescent="0.2">
      <c r="A23" s="17">
        <v>22</v>
      </c>
      <c r="B23" s="15" t="s">
        <v>35</v>
      </c>
      <c r="C23" s="15" t="s">
        <v>58</v>
      </c>
      <c r="D23" s="15" t="s">
        <v>59</v>
      </c>
      <c r="E23" s="14" t="s">
        <v>13</v>
      </c>
      <c r="F23" s="13">
        <v>12000</v>
      </c>
      <c r="G23" s="22">
        <f>I23/4</f>
        <v>1000</v>
      </c>
      <c r="H23" s="8">
        <f t="shared" si="1"/>
        <v>8000</v>
      </c>
      <c r="I23" s="22">
        <f t="shared" si="0"/>
        <v>4000</v>
      </c>
      <c r="J23" s="2">
        <v>4000</v>
      </c>
      <c r="K23" s="2">
        <v>720</v>
      </c>
    </row>
    <row r="24" spans="1:11" x14ac:dyDescent="0.2">
      <c r="A24" s="17">
        <v>23</v>
      </c>
      <c r="B24" s="15" t="s">
        <v>35</v>
      </c>
      <c r="C24" s="15" t="s">
        <v>47</v>
      </c>
      <c r="D24" s="15" t="s">
        <v>60</v>
      </c>
      <c r="E24" s="14" t="s">
        <v>13</v>
      </c>
      <c r="F24" s="13">
        <v>12000</v>
      </c>
      <c r="G24" s="22">
        <f>I24/4</f>
        <v>1000</v>
      </c>
      <c r="H24" s="8">
        <f t="shared" si="1"/>
        <v>8000</v>
      </c>
      <c r="I24" s="22">
        <f t="shared" si="0"/>
        <v>4000</v>
      </c>
      <c r="J24" s="2">
        <v>4000</v>
      </c>
      <c r="K24" s="2">
        <v>720</v>
      </c>
    </row>
    <row r="25" spans="1:11" x14ac:dyDescent="0.2">
      <c r="A25" s="17">
        <v>24</v>
      </c>
      <c r="B25" s="15" t="s">
        <v>44</v>
      </c>
      <c r="C25" s="15" t="s">
        <v>5</v>
      </c>
      <c r="D25" s="15" t="s">
        <v>61</v>
      </c>
      <c r="E25" s="14" t="s">
        <v>13</v>
      </c>
      <c r="F25" s="13">
        <v>37000</v>
      </c>
      <c r="G25" s="22">
        <f>I25/4</f>
        <v>3083.3333333333335</v>
      </c>
      <c r="H25" s="8">
        <f t="shared" si="1"/>
        <v>24666.666666666668</v>
      </c>
      <c r="I25" s="22">
        <f t="shared" si="0"/>
        <v>12333.333333333334</v>
      </c>
      <c r="J25" s="2">
        <v>4000</v>
      </c>
      <c r="K25" s="2">
        <v>720</v>
      </c>
    </row>
    <row r="26" spans="1:11" x14ac:dyDescent="0.2">
      <c r="A26" s="17">
        <v>25</v>
      </c>
      <c r="B26" s="15" t="s">
        <v>35</v>
      </c>
      <c r="C26" s="15" t="s">
        <v>62</v>
      </c>
      <c r="D26" s="15" t="s">
        <v>63</v>
      </c>
      <c r="E26" s="14" t="s">
        <v>13</v>
      </c>
      <c r="F26" s="13">
        <v>12000</v>
      </c>
      <c r="G26" s="22">
        <f>I26/4</f>
        <v>1000</v>
      </c>
      <c r="H26" s="8">
        <f t="shared" si="1"/>
        <v>8000</v>
      </c>
      <c r="I26" s="22">
        <f t="shared" si="0"/>
        <v>4000</v>
      </c>
      <c r="J26" s="2">
        <v>4000</v>
      </c>
      <c r="K26" s="2">
        <v>720</v>
      </c>
    </row>
    <row r="27" spans="1:11" x14ac:dyDescent="0.2">
      <c r="A27" s="17">
        <v>26</v>
      </c>
      <c r="B27" s="15" t="s">
        <v>44</v>
      </c>
      <c r="C27" s="15" t="s">
        <v>5</v>
      </c>
      <c r="D27" s="15" t="s">
        <v>64</v>
      </c>
      <c r="E27" s="14" t="s">
        <v>13</v>
      </c>
      <c r="F27" s="13">
        <v>55000</v>
      </c>
      <c r="G27" s="22">
        <f>I27/4</f>
        <v>4583.333333333333</v>
      </c>
      <c r="H27" s="8">
        <f t="shared" si="1"/>
        <v>36666.666666666664</v>
      </c>
      <c r="I27" s="22">
        <f t="shared" si="0"/>
        <v>18333.333333333332</v>
      </c>
      <c r="J27" s="2">
        <v>4000</v>
      </c>
      <c r="K27" s="2">
        <v>720</v>
      </c>
    </row>
    <row r="28" spans="1:11" x14ac:dyDescent="0.2">
      <c r="A28" s="17">
        <v>27</v>
      </c>
      <c r="B28" s="15" t="s">
        <v>4</v>
      </c>
      <c r="C28" s="15" t="s">
        <v>5</v>
      </c>
      <c r="D28" s="15" t="s">
        <v>6</v>
      </c>
      <c r="E28" s="14" t="s">
        <v>3</v>
      </c>
      <c r="F28" s="13">
        <v>31000</v>
      </c>
      <c r="G28" s="22">
        <f>I28/4</f>
        <v>2583.3333333333335</v>
      </c>
      <c r="H28" s="8">
        <f t="shared" si="1"/>
        <v>20666.666666666668</v>
      </c>
      <c r="I28" s="22">
        <f t="shared" si="0"/>
        <v>10333.333333333334</v>
      </c>
      <c r="J28" s="2">
        <v>4000</v>
      </c>
      <c r="K28" s="2">
        <v>720</v>
      </c>
    </row>
    <row r="29" spans="1:11" x14ac:dyDescent="0.2">
      <c r="A29" s="17">
        <v>28</v>
      </c>
      <c r="B29" s="15" t="s">
        <v>4</v>
      </c>
      <c r="C29" s="15" t="s">
        <v>5</v>
      </c>
      <c r="D29" s="15" t="s">
        <v>65</v>
      </c>
      <c r="E29" s="14" t="s">
        <v>3</v>
      </c>
      <c r="F29" s="13">
        <v>31000</v>
      </c>
      <c r="G29" s="22">
        <f>I29/4</f>
        <v>2583.3333333333335</v>
      </c>
      <c r="H29" s="8">
        <f t="shared" si="1"/>
        <v>20666.666666666668</v>
      </c>
      <c r="I29" s="22">
        <f t="shared" si="0"/>
        <v>10333.333333333334</v>
      </c>
      <c r="J29" s="2">
        <v>4000</v>
      </c>
      <c r="K29" s="2">
        <v>720</v>
      </c>
    </row>
    <row r="30" spans="1:11" x14ac:dyDescent="0.2">
      <c r="A30" s="17">
        <v>29</v>
      </c>
      <c r="B30" s="15" t="s">
        <v>35</v>
      </c>
      <c r="C30" s="15" t="s">
        <v>62</v>
      </c>
      <c r="D30" s="15" t="s">
        <v>66</v>
      </c>
      <c r="E30" s="14" t="s">
        <v>13</v>
      </c>
      <c r="F30" s="13">
        <v>12000</v>
      </c>
      <c r="G30" s="22">
        <f>I30/4</f>
        <v>1000</v>
      </c>
      <c r="H30" s="8">
        <f t="shared" si="1"/>
        <v>8000</v>
      </c>
      <c r="I30" s="22">
        <f t="shared" si="0"/>
        <v>4000</v>
      </c>
      <c r="J30" s="2">
        <v>4000</v>
      </c>
      <c r="K30" s="2">
        <v>720</v>
      </c>
    </row>
    <row r="31" spans="1:11" x14ac:dyDescent="0.2">
      <c r="A31" s="17">
        <v>30</v>
      </c>
      <c r="B31" s="15" t="s">
        <v>32</v>
      </c>
      <c r="C31" s="15" t="s">
        <v>33</v>
      </c>
      <c r="D31" s="15" t="s">
        <v>67</v>
      </c>
      <c r="E31" s="14" t="s">
        <v>13</v>
      </c>
      <c r="F31" s="13">
        <v>24000</v>
      </c>
      <c r="G31" s="22">
        <f>I31/4</f>
        <v>2000</v>
      </c>
      <c r="H31" s="8">
        <f t="shared" si="1"/>
        <v>16000</v>
      </c>
      <c r="I31" s="22">
        <f t="shared" si="0"/>
        <v>8000</v>
      </c>
      <c r="J31" s="2">
        <v>4000</v>
      </c>
      <c r="K31" s="2">
        <v>720</v>
      </c>
    </row>
    <row r="32" spans="1:11" x14ac:dyDescent="0.2">
      <c r="A32" s="17">
        <v>31</v>
      </c>
      <c r="B32" s="15" t="s">
        <v>32</v>
      </c>
      <c r="C32" s="15" t="s">
        <v>33</v>
      </c>
      <c r="D32" s="15" t="s">
        <v>68</v>
      </c>
      <c r="E32" s="14" t="s">
        <v>13</v>
      </c>
      <c r="F32" s="13">
        <v>24000</v>
      </c>
      <c r="G32" s="22">
        <f>I32/4</f>
        <v>2000</v>
      </c>
      <c r="H32" s="8">
        <f t="shared" si="1"/>
        <v>16000</v>
      </c>
      <c r="I32" s="22">
        <f t="shared" si="0"/>
        <v>8000</v>
      </c>
      <c r="J32" s="2">
        <v>4000</v>
      </c>
      <c r="K32" s="2">
        <v>720</v>
      </c>
    </row>
    <row r="33" spans="1:11" x14ac:dyDescent="0.2">
      <c r="A33" s="17">
        <v>32</v>
      </c>
      <c r="B33" s="15" t="s">
        <v>32</v>
      </c>
      <c r="C33" s="15" t="s">
        <v>69</v>
      </c>
      <c r="D33" s="15" t="s">
        <v>70</v>
      </c>
      <c r="E33" s="14" t="s">
        <v>13</v>
      </c>
      <c r="F33" s="13">
        <v>24000</v>
      </c>
      <c r="G33" s="22">
        <f>I33/4</f>
        <v>2000</v>
      </c>
      <c r="H33" s="8">
        <f t="shared" si="1"/>
        <v>16000</v>
      </c>
      <c r="I33" s="22">
        <f t="shared" si="0"/>
        <v>8000</v>
      </c>
      <c r="J33" s="2">
        <v>4000</v>
      </c>
      <c r="K33" s="2">
        <v>720</v>
      </c>
    </row>
    <row r="34" spans="1:11" x14ac:dyDescent="0.2">
      <c r="A34" s="17">
        <v>33</v>
      </c>
      <c r="B34" s="15" t="s">
        <v>32</v>
      </c>
      <c r="C34" s="15" t="s">
        <v>33</v>
      </c>
      <c r="D34" s="15" t="s">
        <v>71</v>
      </c>
      <c r="E34" s="14" t="s">
        <v>13</v>
      </c>
      <c r="F34" s="13">
        <v>24000</v>
      </c>
      <c r="G34" s="22">
        <f>I34/4</f>
        <v>2000</v>
      </c>
      <c r="H34" s="8">
        <f t="shared" si="1"/>
        <v>16000</v>
      </c>
      <c r="I34" s="22">
        <f t="shared" ref="I34:I65" si="2">F34/3</f>
        <v>8000</v>
      </c>
      <c r="J34" s="2">
        <v>4000</v>
      </c>
      <c r="K34" s="2">
        <v>720</v>
      </c>
    </row>
    <row r="35" spans="1:11" x14ac:dyDescent="0.2">
      <c r="A35" s="17">
        <v>34</v>
      </c>
      <c r="B35" s="15" t="s">
        <v>23</v>
      </c>
      <c r="C35" s="15" t="s">
        <v>5</v>
      </c>
      <c r="D35" s="15" t="s">
        <v>72</v>
      </c>
      <c r="E35" s="14" t="s">
        <v>3</v>
      </c>
      <c r="F35" s="13">
        <v>24000</v>
      </c>
      <c r="G35" s="22">
        <f>I35/4</f>
        <v>2000</v>
      </c>
      <c r="H35" s="8">
        <f t="shared" si="1"/>
        <v>16000</v>
      </c>
      <c r="I35" s="22">
        <f t="shared" si="2"/>
        <v>8000</v>
      </c>
      <c r="J35" s="2">
        <v>4000</v>
      </c>
      <c r="K35" s="2">
        <v>720</v>
      </c>
    </row>
    <row r="36" spans="1:11" x14ac:dyDescent="0.2">
      <c r="A36" s="17">
        <v>35</v>
      </c>
      <c r="B36" s="15" t="s">
        <v>27</v>
      </c>
      <c r="C36" s="15" t="s">
        <v>73</v>
      </c>
      <c r="D36" s="15" t="s">
        <v>74</v>
      </c>
      <c r="E36" s="14" t="s">
        <v>13</v>
      </c>
      <c r="F36" s="13">
        <v>51000</v>
      </c>
      <c r="G36" s="22">
        <f>I36/4</f>
        <v>4250</v>
      </c>
      <c r="H36" s="8">
        <f t="shared" si="1"/>
        <v>34000</v>
      </c>
      <c r="I36" s="22">
        <f t="shared" si="2"/>
        <v>17000</v>
      </c>
      <c r="J36" s="2">
        <v>4000</v>
      </c>
      <c r="K36" s="2">
        <v>720</v>
      </c>
    </row>
    <row r="37" spans="1:11" x14ac:dyDescent="0.2">
      <c r="A37" s="17">
        <v>36</v>
      </c>
      <c r="B37" s="15" t="s">
        <v>75</v>
      </c>
      <c r="C37" s="15" t="s">
        <v>76</v>
      </c>
      <c r="D37" s="15" t="s">
        <v>77</v>
      </c>
      <c r="E37" s="14" t="s">
        <v>13</v>
      </c>
      <c r="F37" s="13">
        <v>15000</v>
      </c>
      <c r="G37" s="22">
        <f>I37/4</f>
        <v>1250</v>
      </c>
      <c r="H37" s="8">
        <f t="shared" si="1"/>
        <v>10000</v>
      </c>
      <c r="I37" s="22">
        <f t="shared" si="2"/>
        <v>5000</v>
      </c>
      <c r="J37" s="2">
        <v>4000</v>
      </c>
      <c r="K37" s="2">
        <v>720</v>
      </c>
    </row>
    <row r="38" spans="1:11" x14ac:dyDescent="0.2">
      <c r="A38" s="17">
        <v>37</v>
      </c>
      <c r="B38" s="15" t="s">
        <v>35</v>
      </c>
      <c r="C38" s="15" t="s">
        <v>248</v>
      </c>
      <c r="D38" s="15" t="s">
        <v>247</v>
      </c>
      <c r="E38" s="14" t="s">
        <v>13</v>
      </c>
      <c r="F38" s="13">
        <v>12000</v>
      </c>
      <c r="G38" s="22">
        <f>I38/4</f>
        <v>1000</v>
      </c>
      <c r="H38" s="8">
        <f t="shared" si="1"/>
        <v>8000</v>
      </c>
      <c r="I38" s="22">
        <f t="shared" si="2"/>
        <v>4000</v>
      </c>
      <c r="J38" s="2">
        <v>4000</v>
      </c>
      <c r="K38" s="2">
        <v>720</v>
      </c>
    </row>
    <row r="39" spans="1:11" x14ac:dyDescent="0.2">
      <c r="A39" s="17">
        <v>38</v>
      </c>
      <c r="B39" s="15" t="s">
        <v>23</v>
      </c>
      <c r="C39" s="15" t="s">
        <v>246</v>
      </c>
      <c r="D39" s="15" t="s">
        <v>245</v>
      </c>
      <c r="E39" s="14" t="s">
        <v>3</v>
      </c>
      <c r="F39" s="13">
        <v>18000</v>
      </c>
      <c r="G39" s="22">
        <f>I39/4</f>
        <v>1500</v>
      </c>
      <c r="H39" s="8">
        <f t="shared" si="1"/>
        <v>12000</v>
      </c>
      <c r="I39" s="22">
        <f t="shared" si="2"/>
        <v>6000</v>
      </c>
      <c r="J39" s="2">
        <v>4000</v>
      </c>
      <c r="K39" s="2">
        <v>720</v>
      </c>
    </row>
    <row r="40" spans="1:11" x14ac:dyDescent="0.2">
      <c r="A40" s="17">
        <v>39</v>
      </c>
      <c r="B40" s="15" t="s">
        <v>4</v>
      </c>
      <c r="C40" s="15" t="s">
        <v>5</v>
      </c>
      <c r="D40" s="15" t="s">
        <v>87</v>
      </c>
      <c r="E40" s="14" t="s">
        <v>3</v>
      </c>
      <c r="F40" s="13">
        <v>37000</v>
      </c>
      <c r="G40" s="22">
        <f>I40/4</f>
        <v>3083.3333333333335</v>
      </c>
      <c r="H40" s="8">
        <f t="shared" si="1"/>
        <v>24666.666666666668</v>
      </c>
      <c r="I40" s="22">
        <f t="shared" si="2"/>
        <v>12333.333333333334</v>
      </c>
      <c r="J40" s="2">
        <v>4000</v>
      </c>
      <c r="K40" s="2">
        <v>720</v>
      </c>
    </row>
    <row r="41" spans="1:11" x14ac:dyDescent="0.2">
      <c r="A41" s="17">
        <v>40</v>
      </c>
      <c r="B41" s="15" t="s">
        <v>99</v>
      </c>
      <c r="C41" s="15" t="s">
        <v>73</v>
      </c>
      <c r="D41" s="15" t="s">
        <v>78</v>
      </c>
      <c r="E41" s="14" t="s">
        <v>13</v>
      </c>
      <c r="F41" s="13">
        <v>51000</v>
      </c>
      <c r="G41" s="22">
        <f>I41/4</f>
        <v>4250</v>
      </c>
      <c r="H41" s="8">
        <f t="shared" si="1"/>
        <v>34000</v>
      </c>
      <c r="I41" s="22">
        <f t="shared" si="2"/>
        <v>17000</v>
      </c>
      <c r="J41" s="2">
        <v>4000</v>
      </c>
      <c r="K41" s="2">
        <v>720</v>
      </c>
    </row>
    <row r="42" spans="1:11" x14ac:dyDescent="0.2">
      <c r="A42" s="17">
        <v>41</v>
      </c>
      <c r="B42" s="15" t="s">
        <v>4</v>
      </c>
      <c r="C42" s="15" t="s">
        <v>5</v>
      </c>
      <c r="D42" s="15" t="s">
        <v>79</v>
      </c>
      <c r="E42" s="14" t="s">
        <v>3</v>
      </c>
      <c r="F42" s="13">
        <v>37000</v>
      </c>
      <c r="G42" s="22">
        <f>I42/4</f>
        <v>3083.3333333333335</v>
      </c>
      <c r="H42" s="8">
        <f t="shared" si="1"/>
        <v>24666.666666666668</v>
      </c>
      <c r="I42" s="22">
        <f t="shared" si="2"/>
        <v>12333.333333333334</v>
      </c>
      <c r="J42" s="2">
        <v>4000</v>
      </c>
      <c r="K42" s="2">
        <v>720</v>
      </c>
    </row>
    <row r="43" spans="1:11" x14ac:dyDescent="0.2">
      <c r="A43" s="17">
        <v>42</v>
      </c>
      <c r="B43" s="15" t="s">
        <v>80</v>
      </c>
      <c r="C43" s="15" t="s">
        <v>15</v>
      </c>
      <c r="D43" s="15" t="s">
        <v>81</v>
      </c>
      <c r="E43" s="14" t="s">
        <v>13</v>
      </c>
      <c r="F43" s="13">
        <v>36000</v>
      </c>
      <c r="G43" s="22">
        <f>I43/4</f>
        <v>3000</v>
      </c>
      <c r="H43" s="8">
        <f t="shared" si="1"/>
        <v>24000</v>
      </c>
      <c r="I43" s="22">
        <f t="shared" si="2"/>
        <v>12000</v>
      </c>
      <c r="J43" s="2">
        <v>4000</v>
      </c>
      <c r="K43" s="2">
        <v>720</v>
      </c>
    </row>
    <row r="44" spans="1:11" x14ac:dyDescent="0.2">
      <c r="A44" s="17">
        <v>43</v>
      </c>
      <c r="B44" s="15" t="s">
        <v>14</v>
      </c>
      <c r="C44" s="15" t="s">
        <v>82</v>
      </c>
      <c r="D44" s="15" t="s">
        <v>83</v>
      </c>
      <c r="E44" s="14" t="s">
        <v>13</v>
      </c>
      <c r="F44" s="13">
        <v>51000</v>
      </c>
      <c r="G44" s="22">
        <f>I44/4</f>
        <v>4250</v>
      </c>
      <c r="H44" s="8">
        <f t="shared" si="1"/>
        <v>34000</v>
      </c>
      <c r="I44" s="22">
        <f t="shared" si="2"/>
        <v>17000</v>
      </c>
      <c r="J44" s="2">
        <v>4000</v>
      </c>
      <c r="K44" s="2">
        <v>720</v>
      </c>
    </row>
    <row r="45" spans="1:11" x14ac:dyDescent="0.2">
      <c r="A45" s="17">
        <v>44</v>
      </c>
      <c r="B45" s="15" t="s">
        <v>35</v>
      </c>
      <c r="C45" s="15" t="s">
        <v>62</v>
      </c>
      <c r="D45" s="15" t="s">
        <v>84</v>
      </c>
      <c r="E45" s="14" t="s">
        <v>13</v>
      </c>
      <c r="F45" s="13">
        <v>12000</v>
      </c>
      <c r="G45" s="22">
        <f>I45/4</f>
        <v>1000</v>
      </c>
      <c r="H45" s="8">
        <f t="shared" si="1"/>
        <v>8000</v>
      </c>
      <c r="I45" s="22">
        <f t="shared" si="2"/>
        <v>4000</v>
      </c>
      <c r="J45" s="2">
        <v>4000</v>
      </c>
      <c r="K45" s="2">
        <v>720</v>
      </c>
    </row>
    <row r="46" spans="1:11" x14ac:dyDescent="0.2">
      <c r="A46" s="17">
        <v>45</v>
      </c>
      <c r="B46" s="15" t="s">
        <v>44</v>
      </c>
      <c r="C46" s="15" t="s">
        <v>73</v>
      </c>
      <c r="D46" s="15" t="s">
        <v>85</v>
      </c>
      <c r="E46" s="14" t="s">
        <v>13</v>
      </c>
      <c r="F46" s="13">
        <v>37000</v>
      </c>
      <c r="G46" s="22">
        <f>I46/4</f>
        <v>3083.3333333333335</v>
      </c>
      <c r="H46" s="8">
        <f t="shared" si="1"/>
        <v>24666.666666666668</v>
      </c>
      <c r="I46" s="22">
        <f t="shared" si="2"/>
        <v>12333.333333333334</v>
      </c>
      <c r="J46" s="2">
        <v>4000</v>
      </c>
      <c r="K46" s="2">
        <v>720</v>
      </c>
    </row>
    <row r="47" spans="1:11" x14ac:dyDescent="0.2">
      <c r="A47" s="17">
        <v>46</v>
      </c>
      <c r="B47" s="15" t="s">
        <v>4</v>
      </c>
      <c r="C47" s="15" t="s">
        <v>73</v>
      </c>
      <c r="D47" s="15" t="s">
        <v>90</v>
      </c>
      <c r="E47" s="14" t="s">
        <v>3</v>
      </c>
      <c r="F47" s="13">
        <v>37000</v>
      </c>
      <c r="G47" s="22">
        <f>I47/4</f>
        <v>3083.3333333333335</v>
      </c>
      <c r="H47" s="8">
        <f t="shared" si="1"/>
        <v>24666.666666666668</v>
      </c>
      <c r="I47" s="22">
        <f t="shared" si="2"/>
        <v>12333.333333333334</v>
      </c>
      <c r="J47" s="2">
        <v>4000</v>
      </c>
      <c r="K47" s="2">
        <v>720</v>
      </c>
    </row>
    <row r="48" spans="1:11" x14ac:dyDescent="0.2">
      <c r="A48" s="17">
        <v>47</v>
      </c>
      <c r="B48" s="15" t="s">
        <v>44</v>
      </c>
      <c r="C48" s="15" t="s">
        <v>73</v>
      </c>
      <c r="D48" s="15" t="s">
        <v>244</v>
      </c>
      <c r="E48" s="14" t="s">
        <v>13</v>
      </c>
      <c r="F48" s="13">
        <v>51000</v>
      </c>
      <c r="G48" s="22">
        <f>I48/4</f>
        <v>4250</v>
      </c>
      <c r="H48" s="8">
        <f t="shared" si="1"/>
        <v>34000</v>
      </c>
      <c r="I48" s="22">
        <f t="shared" si="2"/>
        <v>17000</v>
      </c>
      <c r="J48" s="2">
        <v>4000</v>
      </c>
      <c r="K48" s="2">
        <v>720</v>
      </c>
    </row>
    <row r="49" spans="1:11" x14ac:dyDescent="0.2">
      <c r="A49" s="17">
        <v>48</v>
      </c>
      <c r="B49" s="15" t="s">
        <v>35</v>
      </c>
      <c r="C49" s="15" t="s">
        <v>47</v>
      </c>
      <c r="D49" s="15" t="s">
        <v>91</v>
      </c>
      <c r="E49" s="14" t="s">
        <v>13</v>
      </c>
      <c r="F49" s="13">
        <v>12000</v>
      </c>
      <c r="G49" s="22">
        <f>I49/4</f>
        <v>1000</v>
      </c>
      <c r="H49" s="8">
        <f t="shared" si="1"/>
        <v>8000</v>
      </c>
      <c r="I49" s="22">
        <f t="shared" si="2"/>
        <v>4000</v>
      </c>
      <c r="J49" s="2">
        <v>4000</v>
      </c>
      <c r="K49" s="2">
        <v>720</v>
      </c>
    </row>
    <row r="50" spans="1:11" x14ac:dyDescent="0.2">
      <c r="A50" s="17">
        <v>49</v>
      </c>
      <c r="B50" s="15" t="s">
        <v>23</v>
      </c>
      <c r="C50" s="15" t="s">
        <v>5</v>
      </c>
      <c r="D50" s="15" t="s">
        <v>9</v>
      </c>
      <c r="E50" s="14" t="s">
        <v>3</v>
      </c>
      <c r="F50" s="13">
        <v>18000</v>
      </c>
      <c r="G50" s="22">
        <f>I50/4</f>
        <v>1500</v>
      </c>
      <c r="H50" s="8">
        <f t="shared" si="1"/>
        <v>12000</v>
      </c>
      <c r="I50" s="22">
        <f t="shared" si="2"/>
        <v>6000</v>
      </c>
      <c r="J50" s="2">
        <v>4000</v>
      </c>
      <c r="K50" s="2">
        <v>720</v>
      </c>
    </row>
    <row r="51" spans="1:11" x14ac:dyDescent="0.2">
      <c r="A51" s="17">
        <v>50</v>
      </c>
      <c r="B51" s="15" t="s">
        <v>44</v>
      </c>
      <c r="C51" s="15" t="s">
        <v>5</v>
      </c>
      <c r="D51" s="15" t="s">
        <v>92</v>
      </c>
      <c r="E51" s="14" t="s">
        <v>13</v>
      </c>
      <c r="F51" s="13">
        <v>37000</v>
      </c>
      <c r="G51" s="22">
        <f>I51/4</f>
        <v>3083.3333333333335</v>
      </c>
      <c r="H51" s="8">
        <f t="shared" si="1"/>
        <v>24666.666666666668</v>
      </c>
      <c r="I51" s="22">
        <f t="shared" si="2"/>
        <v>12333.333333333334</v>
      </c>
      <c r="J51" s="2">
        <v>4000</v>
      </c>
      <c r="K51" s="2">
        <v>720</v>
      </c>
    </row>
    <row r="52" spans="1:11" x14ac:dyDescent="0.2">
      <c r="A52" s="17">
        <v>51</v>
      </c>
      <c r="B52" s="15" t="s">
        <v>23</v>
      </c>
      <c r="C52" s="15" t="s">
        <v>93</v>
      </c>
      <c r="D52" s="15" t="s">
        <v>94</v>
      </c>
      <c r="E52" s="14" t="s">
        <v>3</v>
      </c>
      <c r="F52" s="13">
        <v>24000</v>
      </c>
      <c r="G52" s="22">
        <f>I52/4</f>
        <v>2000</v>
      </c>
      <c r="H52" s="8">
        <f t="shared" si="1"/>
        <v>16000</v>
      </c>
      <c r="I52" s="22">
        <f t="shared" si="2"/>
        <v>8000</v>
      </c>
      <c r="J52" s="2">
        <v>4000</v>
      </c>
      <c r="K52" s="2">
        <v>720</v>
      </c>
    </row>
    <row r="53" spans="1:11" x14ac:dyDescent="0.2">
      <c r="A53" s="16">
        <v>52</v>
      </c>
      <c r="B53" s="11" t="s">
        <v>243</v>
      </c>
      <c r="C53" s="11" t="s">
        <v>158</v>
      </c>
      <c r="D53" s="11" t="s">
        <v>157</v>
      </c>
      <c r="E53" s="10" t="s">
        <v>13</v>
      </c>
      <c r="F53" s="9">
        <v>42000</v>
      </c>
      <c r="G53" s="22">
        <f>I53/4</f>
        <v>3500</v>
      </c>
      <c r="H53" s="8">
        <f t="shared" si="1"/>
        <v>28000</v>
      </c>
      <c r="I53" s="22">
        <f t="shared" si="2"/>
        <v>14000</v>
      </c>
      <c r="J53" s="2">
        <v>4000</v>
      </c>
      <c r="K53" s="2">
        <v>720</v>
      </c>
    </row>
    <row r="54" spans="1:11" x14ac:dyDescent="0.2">
      <c r="A54" s="16">
        <v>53</v>
      </c>
      <c r="B54" s="11" t="s">
        <v>242</v>
      </c>
      <c r="C54" s="11" t="s">
        <v>153</v>
      </c>
      <c r="D54" s="11" t="s">
        <v>241</v>
      </c>
      <c r="E54" s="10" t="s">
        <v>13</v>
      </c>
      <c r="F54" s="9">
        <v>32000</v>
      </c>
      <c r="G54" s="22">
        <f>I54/4</f>
        <v>2666.6666666666665</v>
      </c>
      <c r="H54" s="8">
        <f t="shared" si="1"/>
        <v>21333.333333333332</v>
      </c>
      <c r="I54" s="22">
        <f t="shared" si="2"/>
        <v>10666.666666666666</v>
      </c>
      <c r="J54" s="2">
        <v>4000</v>
      </c>
      <c r="K54" s="2">
        <v>720</v>
      </c>
    </row>
    <row r="55" spans="1:11" x14ac:dyDescent="0.2">
      <c r="A55" s="16">
        <v>54</v>
      </c>
      <c r="B55" s="11" t="s">
        <v>240</v>
      </c>
      <c r="C55" s="11" t="s">
        <v>239</v>
      </c>
      <c r="D55" s="11" t="s">
        <v>238</v>
      </c>
      <c r="E55" s="10" t="s">
        <v>13</v>
      </c>
      <c r="F55" s="9">
        <v>135000</v>
      </c>
      <c r="G55" s="22">
        <f>I55/4</f>
        <v>11250</v>
      </c>
      <c r="H55" s="8">
        <f t="shared" si="1"/>
        <v>90000</v>
      </c>
      <c r="I55" s="22">
        <f t="shared" si="2"/>
        <v>45000</v>
      </c>
      <c r="J55" s="2">
        <v>4000</v>
      </c>
      <c r="K55" s="2">
        <v>720</v>
      </c>
    </row>
    <row r="56" spans="1:11" x14ac:dyDescent="0.2">
      <c r="A56" s="17">
        <v>55</v>
      </c>
      <c r="B56" s="15" t="s">
        <v>99</v>
      </c>
      <c r="C56" s="15" t="s">
        <v>5</v>
      </c>
      <c r="D56" s="15" t="s">
        <v>100</v>
      </c>
      <c r="E56" s="14" t="s">
        <v>13</v>
      </c>
      <c r="F56" s="13">
        <v>55000</v>
      </c>
      <c r="G56" s="22">
        <f>I56/4</f>
        <v>4583.333333333333</v>
      </c>
      <c r="H56" s="8">
        <f t="shared" si="1"/>
        <v>36666.666666666664</v>
      </c>
      <c r="I56" s="22">
        <f t="shared" si="2"/>
        <v>18333.333333333332</v>
      </c>
      <c r="J56" s="2">
        <v>4000</v>
      </c>
      <c r="K56" s="2">
        <v>720</v>
      </c>
    </row>
    <row r="57" spans="1:11" x14ac:dyDescent="0.2">
      <c r="A57" s="17">
        <v>56</v>
      </c>
      <c r="B57" s="15" t="s">
        <v>14</v>
      </c>
      <c r="C57" s="15" t="s">
        <v>15</v>
      </c>
      <c r="D57" s="15" t="s">
        <v>101</v>
      </c>
      <c r="E57" s="14" t="s">
        <v>13</v>
      </c>
      <c r="F57" s="13">
        <v>51000</v>
      </c>
      <c r="G57" s="22">
        <f>I57/4</f>
        <v>4250</v>
      </c>
      <c r="H57" s="8">
        <f t="shared" si="1"/>
        <v>34000</v>
      </c>
      <c r="I57" s="22">
        <f t="shared" si="2"/>
        <v>17000</v>
      </c>
      <c r="J57" s="2">
        <v>4000</v>
      </c>
      <c r="K57" s="2">
        <v>720</v>
      </c>
    </row>
    <row r="58" spans="1:11" x14ac:dyDescent="0.2">
      <c r="A58" s="17">
        <v>57</v>
      </c>
      <c r="B58" s="15" t="s">
        <v>14</v>
      </c>
      <c r="C58" s="15" t="s">
        <v>237</v>
      </c>
      <c r="D58" s="15" t="s">
        <v>236</v>
      </c>
      <c r="E58" s="14" t="s">
        <v>13</v>
      </c>
      <c r="F58" s="13">
        <v>51000</v>
      </c>
      <c r="G58" s="22">
        <f>I58/4</f>
        <v>4250</v>
      </c>
      <c r="H58" s="8">
        <f t="shared" si="1"/>
        <v>34000</v>
      </c>
      <c r="I58" s="22">
        <f t="shared" si="2"/>
        <v>17000</v>
      </c>
      <c r="J58" s="2">
        <v>4000</v>
      </c>
      <c r="K58" s="2">
        <v>720</v>
      </c>
    </row>
    <row r="59" spans="1:11" x14ac:dyDescent="0.2">
      <c r="A59" s="16">
        <v>58</v>
      </c>
      <c r="B59" s="11" t="s">
        <v>235</v>
      </c>
      <c r="C59" s="11" t="s">
        <v>155</v>
      </c>
      <c r="D59" s="11" t="s">
        <v>234</v>
      </c>
      <c r="E59" s="10" t="s">
        <v>13</v>
      </c>
      <c r="F59" s="9">
        <v>35000</v>
      </c>
      <c r="G59" s="22">
        <f>I59/4</f>
        <v>2916.6666666666665</v>
      </c>
      <c r="H59" s="8">
        <f t="shared" si="1"/>
        <v>23333.333333333332</v>
      </c>
      <c r="I59" s="22">
        <f t="shared" si="2"/>
        <v>11666.666666666666</v>
      </c>
      <c r="J59" s="2">
        <v>4000</v>
      </c>
      <c r="K59" s="2">
        <v>720</v>
      </c>
    </row>
    <row r="60" spans="1:11" x14ac:dyDescent="0.2">
      <c r="A60" s="16">
        <v>59</v>
      </c>
      <c r="B60" s="11" t="s">
        <v>231</v>
      </c>
      <c r="C60" s="11" t="s">
        <v>233</v>
      </c>
      <c r="D60" s="11" t="s">
        <v>232</v>
      </c>
      <c r="E60" s="10" t="s">
        <v>13</v>
      </c>
      <c r="F60" s="9">
        <v>38000</v>
      </c>
      <c r="G60" s="22">
        <f>I60/4</f>
        <v>3166.6666666666665</v>
      </c>
      <c r="H60" s="8">
        <f t="shared" si="1"/>
        <v>25333.333333333332</v>
      </c>
      <c r="I60" s="22">
        <f t="shared" si="2"/>
        <v>12666.666666666666</v>
      </c>
      <c r="J60" s="2">
        <v>4000</v>
      </c>
      <c r="K60" s="2">
        <v>720</v>
      </c>
    </row>
    <row r="61" spans="1:11" x14ac:dyDescent="0.2">
      <c r="A61" s="16">
        <v>60</v>
      </c>
      <c r="B61" s="11" t="s">
        <v>231</v>
      </c>
      <c r="C61" s="11" t="s">
        <v>155</v>
      </c>
      <c r="D61" s="11" t="s">
        <v>230</v>
      </c>
      <c r="E61" s="10" t="s">
        <v>13</v>
      </c>
      <c r="F61" s="9">
        <v>38000</v>
      </c>
      <c r="G61" s="22">
        <f>I61/4</f>
        <v>3166.6666666666665</v>
      </c>
      <c r="H61" s="8">
        <f t="shared" si="1"/>
        <v>25333.333333333332</v>
      </c>
      <c r="I61" s="22">
        <f t="shared" si="2"/>
        <v>12666.666666666666</v>
      </c>
      <c r="J61" s="2">
        <v>4000</v>
      </c>
      <c r="K61" s="2">
        <v>720</v>
      </c>
    </row>
    <row r="62" spans="1:11" x14ac:dyDescent="0.2">
      <c r="A62" s="17">
        <v>61</v>
      </c>
      <c r="B62" s="15" t="s">
        <v>229</v>
      </c>
      <c r="C62" s="15" t="s">
        <v>108</v>
      </c>
      <c r="D62" s="15" t="s">
        <v>110</v>
      </c>
      <c r="E62" s="14" t="s">
        <v>13</v>
      </c>
      <c r="F62" s="13">
        <v>36000</v>
      </c>
      <c r="G62" s="22">
        <f>I62/4</f>
        <v>3000</v>
      </c>
      <c r="H62" s="8">
        <f t="shared" si="1"/>
        <v>24000</v>
      </c>
      <c r="I62" s="22">
        <f t="shared" si="2"/>
        <v>12000</v>
      </c>
      <c r="J62" s="2">
        <v>4000</v>
      </c>
      <c r="K62" s="2">
        <v>720</v>
      </c>
    </row>
    <row r="63" spans="1:11" x14ac:dyDescent="0.2">
      <c r="A63" s="17">
        <v>62</v>
      </c>
      <c r="B63" s="15" t="s">
        <v>226</v>
      </c>
      <c r="C63" s="15" t="s">
        <v>108</v>
      </c>
      <c r="D63" s="15" t="s">
        <v>107</v>
      </c>
      <c r="E63" s="14" t="s">
        <v>13</v>
      </c>
      <c r="F63" s="13">
        <v>32000</v>
      </c>
      <c r="G63" s="22">
        <f>I63/4</f>
        <v>2666.6666666666665</v>
      </c>
      <c r="H63" s="8">
        <f t="shared" si="1"/>
        <v>21333.333333333332</v>
      </c>
      <c r="I63" s="22">
        <f t="shared" si="2"/>
        <v>10666.666666666666</v>
      </c>
      <c r="J63" s="2">
        <v>4000</v>
      </c>
      <c r="K63" s="2">
        <v>720</v>
      </c>
    </row>
    <row r="64" spans="1:11" x14ac:dyDescent="0.2">
      <c r="A64" s="17">
        <v>63</v>
      </c>
      <c r="B64" s="15" t="s">
        <v>4</v>
      </c>
      <c r="C64" s="15" t="s">
        <v>93</v>
      </c>
      <c r="D64" s="15" t="s">
        <v>228</v>
      </c>
      <c r="E64" s="14" t="s">
        <v>3</v>
      </c>
      <c r="F64" s="13">
        <v>32000</v>
      </c>
      <c r="G64" s="22">
        <f>I64/4</f>
        <v>2666.6666666666665</v>
      </c>
      <c r="H64" s="8">
        <f t="shared" si="1"/>
        <v>21333.333333333332</v>
      </c>
      <c r="I64" s="22">
        <f t="shared" si="2"/>
        <v>10666.666666666666</v>
      </c>
      <c r="J64" s="2">
        <v>4000</v>
      </c>
      <c r="K64" s="2">
        <v>720</v>
      </c>
    </row>
    <row r="65" spans="1:11" x14ac:dyDescent="0.2">
      <c r="A65" s="17">
        <v>64</v>
      </c>
      <c r="B65" s="15" t="s">
        <v>98</v>
      </c>
      <c r="C65" s="15" t="s">
        <v>5</v>
      </c>
      <c r="D65" s="15" t="s">
        <v>227</v>
      </c>
      <c r="E65" s="14" t="s">
        <v>3</v>
      </c>
      <c r="F65" s="13">
        <v>24000</v>
      </c>
      <c r="G65" s="22">
        <f>I65/4</f>
        <v>2000</v>
      </c>
      <c r="H65" s="8">
        <f t="shared" si="1"/>
        <v>16000</v>
      </c>
      <c r="I65" s="22">
        <f t="shared" si="2"/>
        <v>8000</v>
      </c>
      <c r="J65" s="2">
        <v>4000</v>
      </c>
      <c r="K65" s="2">
        <v>720</v>
      </c>
    </row>
    <row r="66" spans="1:11" x14ac:dyDescent="0.2">
      <c r="A66" s="17">
        <v>65</v>
      </c>
      <c r="B66" s="15" t="s">
        <v>226</v>
      </c>
      <c r="C66" s="15" t="s">
        <v>106</v>
      </c>
      <c r="D66" s="15" t="s">
        <v>111</v>
      </c>
      <c r="E66" s="14" t="s">
        <v>13</v>
      </c>
      <c r="F66" s="13">
        <v>32000</v>
      </c>
      <c r="G66" s="22">
        <f>I66/4</f>
        <v>2666.6666666666665</v>
      </c>
      <c r="H66" s="8">
        <f t="shared" si="1"/>
        <v>21333.333333333332</v>
      </c>
      <c r="I66" s="22">
        <f t="shared" ref="I66:I97" si="3">F66/3</f>
        <v>10666.666666666666</v>
      </c>
      <c r="J66" s="2">
        <v>4000</v>
      </c>
      <c r="K66" s="2">
        <v>720</v>
      </c>
    </row>
    <row r="67" spans="1:11" x14ac:dyDescent="0.2">
      <c r="A67" s="17">
        <v>66</v>
      </c>
      <c r="B67" s="15" t="s">
        <v>23</v>
      </c>
      <c r="C67" s="15" t="s">
        <v>5</v>
      </c>
      <c r="D67" s="15" t="s">
        <v>8</v>
      </c>
      <c r="E67" s="14" t="s">
        <v>3</v>
      </c>
      <c r="F67" s="13">
        <v>18000</v>
      </c>
      <c r="G67" s="22">
        <f>I67/4</f>
        <v>1500</v>
      </c>
      <c r="H67" s="8">
        <f t="shared" ref="H67:H131" si="4">+I67*2</f>
        <v>12000</v>
      </c>
      <c r="I67" s="22">
        <f t="shared" si="3"/>
        <v>6000</v>
      </c>
      <c r="J67" s="2">
        <v>4000</v>
      </c>
      <c r="K67" s="2">
        <v>720</v>
      </c>
    </row>
    <row r="68" spans="1:11" x14ac:dyDescent="0.2">
      <c r="A68" s="17">
        <v>67</v>
      </c>
      <c r="B68" s="15" t="s">
        <v>225</v>
      </c>
      <c r="C68" s="15" t="s">
        <v>163</v>
      </c>
      <c r="D68" s="15" t="s">
        <v>224</v>
      </c>
      <c r="E68" s="14" t="s">
        <v>13</v>
      </c>
      <c r="F68" s="13">
        <v>27000</v>
      </c>
      <c r="G68" s="22">
        <f>I68/4</f>
        <v>2250</v>
      </c>
      <c r="H68" s="8">
        <f t="shared" si="4"/>
        <v>18000</v>
      </c>
      <c r="I68" s="22">
        <f t="shared" si="3"/>
        <v>9000</v>
      </c>
      <c r="J68" s="2">
        <v>4000</v>
      </c>
      <c r="K68" s="2">
        <v>720</v>
      </c>
    </row>
    <row r="69" spans="1:11" x14ac:dyDescent="0.2">
      <c r="A69" s="16">
        <v>68</v>
      </c>
      <c r="B69" s="11" t="s">
        <v>179</v>
      </c>
      <c r="C69" s="11" t="s">
        <v>178</v>
      </c>
      <c r="D69" s="11" t="s">
        <v>177</v>
      </c>
      <c r="E69" s="10"/>
      <c r="F69" s="9">
        <v>18000</v>
      </c>
      <c r="G69" s="22">
        <f>I69/4</f>
        <v>1500</v>
      </c>
      <c r="H69" s="8">
        <f t="shared" si="4"/>
        <v>12000</v>
      </c>
      <c r="I69" s="22">
        <f t="shared" si="3"/>
        <v>6000</v>
      </c>
      <c r="J69" s="2">
        <v>4000</v>
      </c>
      <c r="K69" s="2">
        <v>720</v>
      </c>
    </row>
    <row r="70" spans="1:11" x14ac:dyDescent="0.2">
      <c r="A70" s="17">
        <v>69</v>
      </c>
      <c r="B70" s="15" t="s">
        <v>170</v>
      </c>
      <c r="C70" s="15" t="s">
        <v>169</v>
      </c>
      <c r="D70" s="15" t="s">
        <v>168</v>
      </c>
      <c r="E70" s="14"/>
      <c r="F70" s="13">
        <v>21000</v>
      </c>
      <c r="G70" s="22">
        <f>I70/4</f>
        <v>1750</v>
      </c>
      <c r="H70" s="8">
        <f t="shared" si="4"/>
        <v>14000</v>
      </c>
      <c r="I70" s="22">
        <f t="shared" si="3"/>
        <v>7000</v>
      </c>
      <c r="J70" s="2">
        <v>4000</v>
      </c>
      <c r="K70" s="2">
        <v>720</v>
      </c>
    </row>
    <row r="71" spans="1:11" x14ac:dyDescent="0.2">
      <c r="A71" s="16">
        <v>70</v>
      </c>
      <c r="B71" s="11" t="s">
        <v>197</v>
      </c>
      <c r="C71" s="11" t="s">
        <v>5</v>
      </c>
      <c r="D71" s="11" t="s">
        <v>196</v>
      </c>
      <c r="E71" s="10" t="s">
        <v>13</v>
      </c>
      <c r="F71" s="9">
        <v>125000</v>
      </c>
      <c r="G71" s="22">
        <f>I71/4</f>
        <v>10416.666666666666</v>
      </c>
      <c r="H71" s="8">
        <f t="shared" si="4"/>
        <v>83333.333333333328</v>
      </c>
      <c r="I71" s="22">
        <f t="shared" si="3"/>
        <v>41666.666666666664</v>
      </c>
      <c r="J71" s="2">
        <v>4000</v>
      </c>
      <c r="K71" s="2">
        <v>720</v>
      </c>
    </row>
    <row r="72" spans="1:11" x14ac:dyDescent="0.2">
      <c r="A72" s="16">
        <v>71</v>
      </c>
      <c r="B72" s="11" t="s">
        <v>195</v>
      </c>
      <c r="C72" s="11" t="s">
        <v>5</v>
      </c>
      <c r="D72" s="11" t="s">
        <v>194</v>
      </c>
      <c r="E72" s="10" t="s">
        <v>13</v>
      </c>
      <c r="F72" s="9">
        <v>145000</v>
      </c>
      <c r="G72" s="22">
        <f>I72/4</f>
        <v>12083.333333333334</v>
      </c>
      <c r="H72" s="8">
        <f t="shared" si="4"/>
        <v>96666.666666666672</v>
      </c>
      <c r="I72" s="22">
        <f t="shared" si="3"/>
        <v>48333.333333333336</v>
      </c>
      <c r="J72" s="2">
        <v>4000</v>
      </c>
      <c r="K72" s="2">
        <v>720</v>
      </c>
    </row>
    <row r="73" spans="1:11" x14ac:dyDescent="0.2">
      <c r="A73" s="7">
        <v>72</v>
      </c>
      <c r="B73" s="15" t="s">
        <v>223</v>
      </c>
      <c r="C73" s="15" t="s">
        <v>222</v>
      </c>
      <c r="D73" s="15" t="s">
        <v>221</v>
      </c>
      <c r="E73" s="14"/>
      <c r="F73" s="13">
        <v>18000</v>
      </c>
      <c r="G73" s="22">
        <f>I73/4</f>
        <v>1500</v>
      </c>
      <c r="H73" s="8">
        <f t="shared" si="4"/>
        <v>12000</v>
      </c>
      <c r="I73" s="22">
        <f t="shared" si="3"/>
        <v>6000</v>
      </c>
      <c r="J73" s="2">
        <v>4000</v>
      </c>
      <c r="K73" s="2">
        <v>720</v>
      </c>
    </row>
    <row r="74" spans="1:11" x14ac:dyDescent="0.2">
      <c r="A74" s="7">
        <v>73</v>
      </c>
      <c r="B74" s="15" t="s">
        <v>220</v>
      </c>
      <c r="C74" s="15" t="s">
        <v>5</v>
      </c>
      <c r="D74" s="15" t="s">
        <v>219</v>
      </c>
      <c r="E74" s="14" t="s">
        <v>3</v>
      </c>
      <c r="F74" s="13">
        <v>18000</v>
      </c>
      <c r="G74" s="22">
        <f>I74/4</f>
        <v>1500</v>
      </c>
      <c r="H74" s="8">
        <f t="shared" si="4"/>
        <v>12000</v>
      </c>
      <c r="I74" s="22">
        <f t="shared" si="3"/>
        <v>6000</v>
      </c>
      <c r="J74" s="2">
        <v>4000</v>
      </c>
      <c r="K74" s="2">
        <v>720</v>
      </c>
    </row>
    <row r="75" spans="1:11" x14ac:dyDescent="0.2">
      <c r="A75" s="7">
        <v>74</v>
      </c>
      <c r="B75" s="15" t="s">
        <v>217</v>
      </c>
      <c r="C75" s="15" t="s">
        <v>5</v>
      </c>
      <c r="D75" s="15" t="s">
        <v>218</v>
      </c>
      <c r="E75" s="14"/>
      <c r="F75" s="13">
        <v>24000</v>
      </c>
      <c r="G75" s="22">
        <f>I75/4</f>
        <v>2000</v>
      </c>
      <c r="H75" s="8">
        <f t="shared" si="4"/>
        <v>16000</v>
      </c>
      <c r="I75" s="22">
        <f t="shared" si="3"/>
        <v>8000</v>
      </c>
      <c r="J75" s="2">
        <v>4000</v>
      </c>
      <c r="K75" s="2">
        <v>720</v>
      </c>
    </row>
    <row r="76" spans="1:11" x14ac:dyDescent="0.2">
      <c r="A76" s="7">
        <v>75</v>
      </c>
      <c r="B76" s="15" t="s">
        <v>217</v>
      </c>
      <c r="C76" s="15" t="s">
        <v>5</v>
      </c>
      <c r="D76" s="15" t="s">
        <v>216</v>
      </c>
      <c r="E76" s="14"/>
      <c r="F76" s="13">
        <v>35000</v>
      </c>
      <c r="G76" s="22">
        <f>I76/4</f>
        <v>2916.6666666666665</v>
      </c>
      <c r="H76" s="8">
        <f t="shared" si="4"/>
        <v>23333.333333333332</v>
      </c>
      <c r="I76" s="22">
        <f t="shared" si="3"/>
        <v>11666.666666666666</v>
      </c>
      <c r="J76" s="2">
        <v>4000</v>
      </c>
      <c r="K76" s="2">
        <v>720</v>
      </c>
    </row>
    <row r="77" spans="1:11" x14ac:dyDescent="0.2">
      <c r="A77" s="7">
        <v>76</v>
      </c>
      <c r="B77" s="15" t="s">
        <v>215</v>
      </c>
      <c r="C77" s="15" t="s">
        <v>5</v>
      </c>
      <c r="D77" s="15" t="s">
        <v>214</v>
      </c>
      <c r="E77" s="14"/>
      <c r="F77" s="13">
        <v>35000</v>
      </c>
      <c r="G77" s="22">
        <f>I77/4</f>
        <v>2916.6666666666665</v>
      </c>
      <c r="H77" s="8">
        <f t="shared" si="4"/>
        <v>23333.333333333332</v>
      </c>
      <c r="I77" s="22">
        <f t="shared" si="3"/>
        <v>11666.666666666666</v>
      </c>
      <c r="J77" s="2">
        <v>4000</v>
      </c>
      <c r="K77" s="2">
        <v>720</v>
      </c>
    </row>
    <row r="78" spans="1:11" x14ac:dyDescent="0.2">
      <c r="A78" s="7">
        <v>77</v>
      </c>
      <c r="B78" s="15" t="s">
        <v>213</v>
      </c>
      <c r="C78" s="15" t="s">
        <v>5</v>
      </c>
      <c r="D78" s="15" t="s">
        <v>212</v>
      </c>
      <c r="E78" s="14"/>
      <c r="F78" s="13">
        <v>40000</v>
      </c>
      <c r="G78" s="22">
        <f>I78/4</f>
        <v>3333.3333333333335</v>
      </c>
      <c r="H78" s="8">
        <f t="shared" si="4"/>
        <v>26666.666666666668</v>
      </c>
      <c r="I78" s="22">
        <f t="shared" si="3"/>
        <v>13333.333333333334</v>
      </c>
      <c r="J78" s="2">
        <v>4000</v>
      </c>
      <c r="K78" s="2">
        <v>720</v>
      </c>
    </row>
    <row r="79" spans="1:11" x14ac:dyDescent="0.2">
      <c r="A79" s="7">
        <v>78</v>
      </c>
      <c r="B79" s="15" t="s">
        <v>211</v>
      </c>
      <c r="C79" s="15" t="s">
        <v>5</v>
      </c>
      <c r="D79" s="15" t="s">
        <v>210</v>
      </c>
      <c r="E79" s="14"/>
      <c r="F79" s="13">
        <v>50000</v>
      </c>
      <c r="G79" s="22">
        <f>I79/4</f>
        <v>4166.666666666667</v>
      </c>
      <c r="H79" s="8">
        <f t="shared" si="4"/>
        <v>33333.333333333336</v>
      </c>
      <c r="I79" s="22">
        <f t="shared" si="3"/>
        <v>16666.666666666668</v>
      </c>
      <c r="J79" s="2">
        <v>4000</v>
      </c>
      <c r="K79" s="2">
        <v>720</v>
      </c>
    </row>
    <row r="80" spans="1:11" x14ac:dyDescent="0.2">
      <c r="A80" s="7">
        <v>79</v>
      </c>
      <c r="B80" s="15" t="s">
        <v>209</v>
      </c>
      <c r="C80" s="15" t="s">
        <v>5</v>
      </c>
      <c r="D80" s="15" t="s">
        <v>6</v>
      </c>
      <c r="E80" s="14"/>
      <c r="F80" s="13">
        <v>31000</v>
      </c>
      <c r="G80" s="22">
        <f>I80/4</f>
        <v>2583.3333333333335</v>
      </c>
      <c r="H80" s="8">
        <f t="shared" si="4"/>
        <v>20666.666666666668</v>
      </c>
      <c r="I80" s="22">
        <f t="shared" si="3"/>
        <v>10333.333333333334</v>
      </c>
      <c r="J80" s="2">
        <v>4000</v>
      </c>
      <c r="K80" s="2">
        <v>720</v>
      </c>
    </row>
    <row r="81" spans="1:11" x14ac:dyDescent="0.2">
      <c r="A81" s="7">
        <v>80</v>
      </c>
      <c r="B81" s="15" t="s">
        <v>208</v>
      </c>
      <c r="C81" s="15" t="s">
        <v>5</v>
      </c>
      <c r="D81" s="15" t="s">
        <v>87</v>
      </c>
      <c r="E81" s="14"/>
      <c r="F81" s="13">
        <v>37000</v>
      </c>
      <c r="G81" s="22">
        <f>I81/4</f>
        <v>3083.3333333333335</v>
      </c>
      <c r="H81" s="8">
        <f t="shared" si="4"/>
        <v>24666.666666666668</v>
      </c>
      <c r="I81" s="22">
        <f t="shared" si="3"/>
        <v>12333.333333333334</v>
      </c>
      <c r="J81" s="2">
        <v>4000</v>
      </c>
      <c r="K81" s="2">
        <v>720</v>
      </c>
    </row>
    <row r="82" spans="1:11" x14ac:dyDescent="0.2">
      <c r="A82" s="7">
        <v>81</v>
      </c>
      <c r="B82" s="15" t="s">
        <v>208</v>
      </c>
      <c r="C82" s="15" t="s">
        <v>5</v>
      </c>
      <c r="D82" s="15" t="s">
        <v>61</v>
      </c>
      <c r="E82" s="14"/>
      <c r="F82" s="13">
        <v>37000</v>
      </c>
      <c r="G82" s="22">
        <f>I82/4</f>
        <v>3083.3333333333335</v>
      </c>
      <c r="H82" s="8">
        <f t="shared" si="4"/>
        <v>24666.666666666668</v>
      </c>
      <c r="I82" s="22">
        <f t="shared" si="3"/>
        <v>12333.333333333334</v>
      </c>
      <c r="J82" s="2">
        <v>4000</v>
      </c>
      <c r="K82" s="2">
        <v>720</v>
      </c>
    </row>
    <row r="83" spans="1:11" x14ac:dyDescent="0.2">
      <c r="A83" s="7">
        <v>82</v>
      </c>
      <c r="B83" s="15" t="s">
        <v>207</v>
      </c>
      <c r="C83" s="15" t="s">
        <v>73</v>
      </c>
      <c r="D83" s="15" t="s">
        <v>85</v>
      </c>
      <c r="E83" s="14"/>
      <c r="F83" s="13">
        <v>37000</v>
      </c>
      <c r="G83" s="22">
        <f>I83/4</f>
        <v>3083.3333333333335</v>
      </c>
      <c r="H83" s="8">
        <f t="shared" si="4"/>
        <v>24666.666666666668</v>
      </c>
      <c r="I83" s="22">
        <f t="shared" si="3"/>
        <v>12333.333333333334</v>
      </c>
      <c r="J83" s="2">
        <v>4000</v>
      </c>
      <c r="K83" s="2">
        <v>720</v>
      </c>
    </row>
    <row r="84" spans="1:11" x14ac:dyDescent="0.2">
      <c r="A84" s="7">
        <v>83</v>
      </c>
      <c r="B84" s="15" t="s">
        <v>205</v>
      </c>
      <c r="C84" s="15" t="s">
        <v>5</v>
      </c>
      <c r="D84" s="15" t="s">
        <v>206</v>
      </c>
      <c r="E84" s="14"/>
      <c r="F84" s="13">
        <v>55000</v>
      </c>
      <c r="G84" s="22">
        <f>I84/4</f>
        <v>4583.333333333333</v>
      </c>
      <c r="H84" s="8">
        <f t="shared" si="4"/>
        <v>36666.666666666664</v>
      </c>
      <c r="I84" s="22">
        <f t="shared" si="3"/>
        <v>18333.333333333332</v>
      </c>
      <c r="J84" s="2">
        <v>4000</v>
      </c>
      <c r="K84" s="2">
        <v>720</v>
      </c>
    </row>
    <row r="85" spans="1:11" x14ac:dyDescent="0.2">
      <c r="A85" s="7">
        <v>84</v>
      </c>
      <c r="B85" s="15" t="s">
        <v>205</v>
      </c>
      <c r="C85" s="15" t="s">
        <v>5</v>
      </c>
      <c r="D85" s="15" t="s">
        <v>204</v>
      </c>
      <c r="E85" s="14"/>
      <c r="F85" s="13">
        <v>55000</v>
      </c>
      <c r="G85" s="22">
        <f>I85/4</f>
        <v>4583.333333333333</v>
      </c>
      <c r="H85" s="8">
        <f t="shared" si="4"/>
        <v>36666.666666666664</v>
      </c>
      <c r="I85" s="22">
        <f t="shared" si="3"/>
        <v>18333.333333333332</v>
      </c>
      <c r="J85" s="2">
        <v>4000</v>
      </c>
      <c r="K85" s="2">
        <v>720</v>
      </c>
    </row>
    <row r="86" spans="1:11" x14ac:dyDescent="0.2">
      <c r="A86" s="7">
        <v>85</v>
      </c>
      <c r="B86" s="15" t="s">
        <v>203</v>
      </c>
      <c r="C86" s="15" t="s">
        <v>5</v>
      </c>
      <c r="D86" s="15" t="s">
        <v>202</v>
      </c>
      <c r="E86" s="14"/>
      <c r="F86" s="13">
        <v>80000</v>
      </c>
      <c r="G86" s="22">
        <f>I86/4</f>
        <v>6666.666666666667</v>
      </c>
      <c r="H86" s="8">
        <f t="shared" si="4"/>
        <v>53333.333333333336</v>
      </c>
      <c r="I86" s="22">
        <f t="shared" si="3"/>
        <v>26666.666666666668</v>
      </c>
      <c r="J86" s="2">
        <v>4000</v>
      </c>
      <c r="K86" s="2">
        <v>720</v>
      </c>
    </row>
    <row r="87" spans="1:11" x14ac:dyDescent="0.2">
      <c r="A87" s="7">
        <v>86</v>
      </c>
      <c r="B87" s="15" t="s">
        <v>199</v>
      </c>
      <c r="C87" s="15" t="s">
        <v>5</v>
      </c>
      <c r="D87" s="15" t="s">
        <v>201</v>
      </c>
      <c r="E87" s="14"/>
      <c r="F87" s="13">
        <v>90000</v>
      </c>
      <c r="G87" s="22">
        <f>I87/4</f>
        <v>7500</v>
      </c>
      <c r="H87" s="8">
        <f t="shared" si="4"/>
        <v>60000</v>
      </c>
      <c r="I87" s="22">
        <f t="shared" si="3"/>
        <v>30000</v>
      </c>
      <c r="J87" s="2">
        <v>4000</v>
      </c>
      <c r="K87" s="2">
        <v>720</v>
      </c>
    </row>
    <row r="88" spans="1:11" x14ac:dyDescent="0.2">
      <c r="A88" s="7">
        <v>87</v>
      </c>
      <c r="B88" s="15" t="s">
        <v>199</v>
      </c>
      <c r="C88" s="15" t="s">
        <v>5</v>
      </c>
      <c r="D88" s="15" t="s">
        <v>200</v>
      </c>
      <c r="E88" s="14"/>
      <c r="F88" s="13">
        <v>80000</v>
      </c>
      <c r="G88" s="22">
        <f>I88/4</f>
        <v>6666.666666666667</v>
      </c>
      <c r="H88" s="8">
        <f t="shared" si="4"/>
        <v>53333.333333333336</v>
      </c>
      <c r="I88" s="22">
        <f t="shared" si="3"/>
        <v>26666.666666666668</v>
      </c>
      <c r="J88" s="2">
        <v>4000</v>
      </c>
      <c r="K88" s="2">
        <v>720</v>
      </c>
    </row>
    <row r="89" spans="1:11" x14ac:dyDescent="0.2">
      <c r="A89" s="7">
        <v>88</v>
      </c>
      <c r="B89" s="15" t="s">
        <v>199</v>
      </c>
      <c r="C89" s="15" t="s">
        <v>5</v>
      </c>
      <c r="D89" s="15" t="s">
        <v>198</v>
      </c>
      <c r="E89" s="14"/>
      <c r="F89" s="13">
        <v>85000</v>
      </c>
      <c r="G89" s="22">
        <f>I89/4</f>
        <v>7083.333333333333</v>
      </c>
      <c r="H89" s="8">
        <f t="shared" si="4"/>
        <v>56666.666666666664</v>
      </c>
      <c r="I89" s="22">
        <f t="shared" si="3"/>
        <v>28333.333333333332</v>
      </c>
      <c r="J89" s="2">
        <v>4000</v>
      </c>
      <c r="K89" s="2">
        <v>720</v>
      </c>
    </row>
    <row r="90" spans="1:11" x14ac:dyDescent="0.2">
      <c r="A90" s="7">
        <v>89</v>
      </c>
      <c r="B90" s="15" t="s">
        <v>197</v>
      </c>
      <c r="C90" s="15" t="s">
        <v>5</v>
      </c>
      <c r="D90" s="15" t="s">
        <v>196</v>
      </c>
      <c r="E90" s="14"/>
      <c r="F90" s="13">
        <v>125000</v>
      </c>
      <c r="G90" s="22">
        <f>I90/4</f>
        <v>10416.666666666666</v>
      </c>
      <c r="H90" s="8">
        <f t="shared" si="4"/>
        <v>83333.333333333328</v>
      </c>
      <c r="I90" s="22">
        <f t="shared" si="3"/>
        <v>41666.666666666664</v>
      </c>
      <c r="J90" s="2">
        <v>4000</v>
      </c>
      <c r="K90" s="2">
        <v>720</v>
      </c>
    </row>
    <row r="91" spans="1:11" x14ac:dyDescent="0.2">
      <c r="A91" s="7">
        <v>90</v>
      </c>
      <c r="B91" s="15" t="s">
        <v>195</v>
      </c>
      <c r="C91" s="15" t="s">
        <v>5</v>
      </c>
      <c r="D91" s="15" t="s">
        <v>194</v>
      </c>
      <c r="E91" s="14"/>
      <c r="F91" s="13">
        <v>145000</v>
      </c>
      <c r="G91" s="22">
        <f>I91/4</f>
        <v>12083.333333333334</v>
      </c>
      <c r="H91" s="8">
        <f t="shared" si="4"/>
        <v>96666.666666666672</v>
      </c>
      <c r="I91" s="22">
        <f t="shared" si="3"/>
        <v>48333.333333333336</v>
      </c>
      <c r="J91" s="2">
        <v>4000</v>
      </c>
      <c r="K91" s="2">
        <v>720</v>
      </c>
    </row>
    <row r="92" spans="1:11" x14ac:dyDescent="0.2">
      <c r="A92" s="7">
        <v>91</v>
      </c>
      <c r="B92" s="15" t="s">
        <v>193</v>
      </c>
      <c r="C92" s="15" t="s">
        <v>5</v>
      </c>
      <c r="D92" s="15" t="s">
        <v>45</v>
      </c>
      <c r="E92" s="14"/>
      <c r="F92" s="13">
        <v>160000</v>
      </c>
      <c r="G92" s="22">
        <f>I92/4</f>
        <v>13333.333333333334</v>
      </c>
      <c r="H92" s="8">
        <f t="shared" si="4"/>
        <v>106666.66666666667</v>
      </c>
      <c r="I92" s="22">
        <f t="shared" si="3"/>
        <v>53333.333333333336</v>
      </c>
      <c r="J92" s="2">
        <v>4000</v>
      </c>
      <c r="K92" s="2">
        <v>720</v>
      </c>
    </row>
    <row r="93" spans="1:11" x14ac:dyDescent="0.2">
      <c r="A93" s="7">
        <v>92</v>
      </c>
      <c r="B93" s="15" t="s">
        <v>192</v>
      </c>
      <c r="C93" s="15" t="s">
        <v>5</v>
      </c>
      <c r="D93" s="15" t="s">
        <v>191</v>
      </c>
      <c r="E93" s="14"/>
      <c r="F93" s="13">
        <v>21000</v>
      </c>
      <c r="G93" s="22">
        <f>I93/4</f>
        <v>1750</v>
      </c>
      <c r="H93" s="8">
        <f t="shared" si="4"/>
        <v>14000</v>
      </c>
      <c r="I93" s="22">
        <f t="shared" si="3"/>
        <v>7000</v>
      </c>
      <c r="J93" s="2">
        <v>4000</v>
      </c>
      <c r="K93" s="2">
        <v>720</v>
      </c>
    </row>
    <row r="94" spans="1:11" x14ac:dyDescent="0.2">
      <c r="A94" s="7">
        <v>93</v>
      </c>
      <c r="B94" s="15" t="s">
        <v>190</v>
      </c>
      <c r="C94" s="15" t="s">
        <v>189</v>
      </c>
      <c r="D94" s="15" t="s">
        <v>60</v>
      </c>
      <c r="E94" s="14"/>
      <c r="F94" s="13">
        <v>12000</v>
      </c>
      <c r="G94" s="22">
        <f>I94/4</f>
        <v>1000</v>
      </c>
      <c r="H94" s="8">
        <f t="shared" si="4"/>
        <v>8000</v>
      </c>
      <c r="I94" s="22">
        <f t="shared" si="3"/>
        <v>4000</v>
      </c>
      <c r="J94" s="2">
        <v>4000</v>
      </c>
      <c r="K94" s="2">
        <v>720</v>
      </c>
    </row>
    <row r="95" spans="1:11" x14ac:dyDescent="0.2">
      <c r="A95" s="7">
        <v>94</v>
      </c>
      <c r="B95" s="15" t="s">
        <v>188</v>
      </c>
      <c r="C95" s="15" t="s">
        <v>55</v>
      </c>
      <c r="D95" s="15" t="s">
        <v>187</v>
      </c>
      <c r="E95" s="14"/>
      <c r="F95" s="13">
        <v>30000</v>
      </c>
      <c r="G95" s="22">
        <f>I95/4</f>
        <v>2500</v>
      </c>
      <c r="H95" s="8">
        <f t="shared" si="4"/>
        <v>20000</v>
      </c>
      <c r="I95" s="22">
        <f t="shared" si="3"/>
        <v>10000</v>
      </c>
      <c r="J95" s="2">
        <v>4000</v>
      </c>
      <c r="K95" s="2">
        <v>720</v>
      </c>
    </row>
    <row r="96" spans="1:11" x14ac:dyDescent="0.2">
      <c r="A96" s="7">
        <v>95</v>
      </c>
      <c r="B96" s="15" t="s">
        <v>186</v>
      </c>
      <c r="C96" s="15" t="s">
        <v>55</v>
      </c>
      <c r="D96" s="15" t="s">
        <v>185</v>
      </c>
      <c r="E96" s="14"/>
      <c r="F96" s="13">
        <v>51000</v>
      </c>
      <c r="G96" s="22">
        <f>I96/4</f>
        <v>4250</v>
      </c>
      <c r="H96" s="8">
        <f t="shared" si="4"/>
        <v>34000</v>
      </c>
      <c r="I96" s="22">
        <f t="shared" si="3"/>
        <v>17000</v>
      </c>
      <c r="J96" s="2">
        <v>4000</v>
      </c>
      <c r="K96" s="2">
        <v>720</v>
      </c>
    </row>
    <row r="97" spans="1:11" x14ac:dyDescent="0.2">
      <c r="A97" s="7">
        <v>96</v>
      </c>
      <c r="B97" s="15" t="s">
        <v>184</v>
      </c>
      <c r="C97" s="15" t="s">
        <v>15</v>
      </c>
      <c r="D97" s="15" t="s">
        <v>183</v>
      </c>
      <c r="E97" s="14"/>
      <c r="F97" s="13">
        <v>15000</v>
      </c>
      <c r="G97" s="22">
        <f>I97/4</f>
        <v>1250</v>
      </c>
      <c r="H97" s="8">
        <f t="shared" si="4"/>
        <v>10000</v>
      </c>
      <c r="I97" s="22">
        <f t="shared" si="3"/>
        <v>5000</v>
      </c>
      <c r="J97" s="2">
        <v>4000</v>
      </c>
      <c r="K97" s="2">
        <v>720</v>
      </c>
    </row>
    <row r="98" spans="1:11" x14ac:dyDescent="0.2">
      <c r="A98" s="7">
        <v>97</v>
      </c>
      <c r="B98" s="15" t="s">
        <v>182</v>
      </c>
      <c r="C98" s="15" t="s">
        <v>18</v>
      </c>
      <c r="D98" s="15" t="s">
        <v>181</v>
      </c>
      <c r="E98" s="14"/>
      <c r="F98" s="13">
        <v>33000</v>
      </c>
      <c r="G98" s="22">
        <f>I98/4</f>
        <v>2750</v>
      </c>
      <c r="H98" s="22">
        <f t="shared" si="4"/>
        <v>22000</v>
      </c>
      <c r="I98" s="22">
        <f t="shared" ref="I98:I130" si="5">F98/3</f>
        <v>11000</v>
      </c>
      <c r="J98" s="2">
        <v>4000</v>
      </c>
      <c r="K98" s="2">
        <v>720</v>
      </c>
    </row>
    <row r="99" spans="1:11" x14ac:dyDescent="0.2">
      <c r="A99" s="7">
        <v>98</v>
      </c>
      <c r="B99" s="15" t="s">
        <v>180</v>
      </c>
      <c r="C99" s="15" t="s">
        <v>15</v>
      </c>
      <c r="D99" s="15" t="s">
        <v>81</v>
      </c>
      <c r="E99" s="14"/>
      <c r="F99" s="13">
        <v>36000</v>
      </c>
      <c r="G99" s="22">
        <f>I99/4</f>
        <v>3000</v>
      </c>
      <c r="H99" s="8">
        <f t="shared" si="4"/>
        <v>24000</v>
      </c>
      <c r="I99" s="22">
        <f t="shared" si="5"/>
        <v>12000</v>
      </c>
      <c r="J99" s="2">
        <v>4000</v>
      </c>
      <c r="K99" s="2">
        <v>720</v>
      </c>
    </row>
    <row r="100" spans="1:11" x14ac:dyDescent="0.2">
      <c r="A100" s="12">
        <v>99</v>
      </c>
      <c r="B100" s="11" t="s">
        <v>179</v>
      </c>
      <c r="C100" s="11" t="s">
        <v>178</v>
      </c>
      <c r="D100" s="11" t="s">
        <v>177</v>
      </c>
      <c r="E100" s="10"/>
      <c r="F100" s="9">
        <v>18000</v>
      </c>
      <c r="G100" s="22">
        <f>I100/4</f>
        <v>1500</v>
      </c>
      <c r="H100" s="8">
        <f t="shared" si="4"/>
        <v>12000</v>
      </c>
      <c r="I100" s="22">
        <f t="shared" si="5"/>
        <v>6000</v>
      </c>
      <c r="J100" s="2">
        <v>4000</v>
      </c>
      <c r="K100" s="2">
        <v>720</v>
      </c>
    </row>
    <row r="101" spans="1:11" x14ac:dyDescent="0.2">
      <c r="A101" s="7">
        <v>100</v>
      </c>
      <c r="B101" s="15" t="s">
        <v>175</v>
      </c>
      <c r="C101" s="15" t="s">
        <v>33</v>
      </c>
      <c r="D101" s="15" t="s">
        <v>176</v>
      </c>
      <c r="E101" s="14" t="s">
        <v>13</v>
      </c>
      <c r="F101" s="13">
        <v>24000</v>
      </c>
      <c r="G101" s="22">
        <f>I101/4</f>
        <v>2000</v>
      </c>
      <c r="H101" s="8">
        <f t="shared" si="4"/>
        <v>16000</v>
      </c>
      <c r="I101" s="22">
        <f t="shared" si="5"/>
        <v>8000</v>
      </c>
      <c r="J101" s="2">
        <v>4000</v>
      </c>
      <c r="K101" s="2">
        <v>720</v>
      </c>
    </row>
    <row r="102" spans="1:11" x14ac:dyDescent="0.2">
      <c r="A102" s="7">
        <v>101</v>
      </c>
      <c r="B102" s="15" t="s">
        <v>175</v>
      </c>
      <c r="C102" s="15" t="s">
        <v>33</v>
      </c>
      <c r="D102" s="15" t="s">
        <v>174</v>
      </c>
      <c r="E102" s="14" t="s">
        <v>13</v>
      </c>
      <c r="F102" s="13">
        <v>24000</v>
      </c>
      <c r="G102" s="22">
        <f>I102/4</f>
        <v>2000</v>
      </c>
      <c r="H102" s="8">
        <f t="shared" si="4"/>
        <v>16000</v>
      </c>
      <c r="I102" s="22">
        <f t="shared" si="5"/>
        <v>8000</v>
      </c>
      <c r="J102" s="2">
        <v>4000</v>
      </c>
      <c r="K102" s="2">
        <v>720</v>
      </c>
    </row>
    <row r="103" spans="1:11" x14ac:dyDescent="0.2">
      <c r="A103" s="7">
        <v>102</v>
      </c>
      <c r="B103" s="15" t="s">
        <v>173</v>
      </c>
      <c r="C103" s="15" t="s">
        <v>172</v>
      </c>
      <c r="D103" s="15" t="s">
        <v>171</v>
      </c>
      <c r="E103" s="14"/>
      <c r="F103" s="13">
        <v>5000</v>
      </c>
      <c r="G103" s="22">
        <f>I103/4</f>
        <v>416.66666666666669</v>
      </c>
      <c r="H103" s="8">
        <f t="shared" si="4"/>
        <v>3333.3333333333335</v>
      </c>
      <c r="I103" s="22">
        <f t="shared" si="5"/>
        <v>1666.6666666666667</v>
      </c>
      <c r="J103" s="2">
        <v>4000</v>
      </c>
      <c r="K103" s="2">
        <v>720</v>
      </c>
    </row>
    <row r="104" spans="1:11" x14ac:dyDescent="0.2">
      <c r="A104" s="7">
        <v>103</v>
      </c>
      <c r="B104" s="15" t="s">
        <v>170</v>
      </c>
      <c r="C104" s="15" t="s">
        <v>169</v>
      </c>
      <c r="D104" s="15" t="s">
        <v>168</v>
      </c>
      <c r="E104" s="14"/>
      <c r="F104" s="13">
        <v>21000</v>
      </c>
      <c r="G104" s="22">
        <f>I104/4</f>
        <v>1750</v>
      </c>
      <c r="H104" s="8">
        <f t="shared" si="4"/>
        <v>14000</v>
      </c>
      <c r="I104" s="22">
        <f t="shared" si="5"/>
        <v>7000</v>
      </c>
      <c r="J104" s="2">
        <v>4000</v>
      </c>
      <c r="K104" s="2">
        <v>720</v>
      </c>
    </row>
    <row r="105" spans="1:11" x14ac:dyDescent="0.2">
      <c r="A105" s="7">
        <v>104</v>
      </c>
      <c r="B105" s="15" t="s">
        <v>167</v>
      </c>
      <c r="C105" s="15" t="s">
        <v>166</v>
      </c>
      <c r="D105" s="15" t="s">
        <v>165</v>
      </c>
      <c r="E105" s="14"/>
      <c r="F105" s="13">
        <v>50000</v>
      </c>
      <c r="G105" s="22">
        <f>I105/4</f>
        <v>4166.666666666667</v>
      </c>
      <c r="H105" s="8">
        <f t="shared" si="4"/>
        <v>33333.333333333336</v>
      </c>
      <c r="I105" s="22">
        <f t="shared" si="5"/>
        <v>16666.666666666668</v>
      </c>
      <c r="J105" s="2">
        <v>4000</v>
      </c>
      <c r="K105" s="2">
        <v>720</v>
      </c>
    </row>
    <row r="106" spans="1:11" x14ac:dyDescent="0.2">
      <c r="A106" s="12">
        <v>105</v>
      </c>
      <c r="B106" s="11" t="s">
        <v>164</v>
      </c>
      <c r="C106" s="11" t="s">
        <v>163</v>
      </c>
      <c r="D106" s="11" t="s">
        <v>162</v>
      </c>
      <c r="E106" s="10"/>
      <c r="F106" s="9">
        <v>24000</v>
      </c>
      <c r="G106" s="22">
        <f>I106/4</f>
        <v>2000</v>
      </c>
      <c r="H106" s="8">
        <f t="shared" si="4"/>
        <v>16000</v>
      </c>
      <c r="I106" s="22">
        <f t="shared" si="5"/>
        <v>8000</v>
      </c>
      <c r="J106" s="2">
        <v>4000</v>
      </c>
      <c r="K106" s="2">
        <v>720</v>
      </c>
    </row>
    <row r="107" spans="1:11" x14ac:dyDescent="0.2">
      <c r="A107" s="12">
        <v>106</v>
      </c>
      <c r="B107" s="11" t="s">
        <v>161</v>
      </c>
      <c r="C107" s="11" t="s">
        <v>158</v>
      </c>
      <c r="D107" s="11" t="s">
        <v>160</v>
      </c>
      <c r="E107" s="10"/>
      <c r="F107" s="9">
        <v>27000</v>
      </c>
      <c r="G107" s="22">
        <f>I107/4</f>
        <v>2250</v>
      </c>
      <c r="H107" s="8">
        <f t="shared" si="4"/>
        <v>18000</v>
      </c>
      <c r="I107" s="22">
        <f t="shared" si="5"/>
        <v>9000</v>
      </c>
      <c r="J107" s="2">
        <v>4000</v>
      </c>
      <c r="K107" s="2">
        <v>720</v>
      </c>
    </row>
    <row r="108" spans="1:11" x14ac:dyDescent="0.2">
      <c r="A108" s="12">
        <v>107</v>
      </c>
      <c r="B108" s="11" t="s">
        <v>159</v>
      </c>
      <c r="C108" s="11" t="s">
        <v>158</v>
      </c>
      <c r="D108" s="11" t="s">
        <v>157</v>
      </c>
      <c r="E108" s="10"/>
      <c r="F108" s="9">
        <v>42000</v>
      </c>
      <c r="G108" s="22">
        <f>I108/4</f>
        <v>3500</v>
      </c>
      <c r="H108" s="8">
        <f t="shared" si="4"/>
        <v>28000</v>
      </c>
      <c r="I108" s="22">
        <f t="shared" si="5"/>
        <v>14000</v>
      </c>
      <c r="J108" s="2">
        <v>4000</v>
      </c>
      <c r="K108" s="2">
        <v>720</v>
      </c>
    </row>
    <row r="109" spans="1:11" x14ac:dyDescent="0.2">
      <c r="A109" s="7">
        <v>108</v>
      </c>
      <c r="B109" s="15" t="s">
        <v>156</v>
      </c>
      <c r="C109" s="15" t="s">
        <v>155</v>
      </c>
      <c r="D109" s="15" t="s">
        <v>152</v>
      </c>
      <c r="E109" s="14"/>
      <c r="F109" s="13">
        <v>50000</v>
      </c>
      <c r="G109" s="22">
        <f>I109/4</f>
        <v>4166.666666666667</v>
      </c>
      <c r="H109" s="8">
        <f t="shared" si="4"/>
        <v>33333.333333333336</v>
      </c>
      <c r="I109" s="22">
        <f t="shared" si="5"/>
        <v>16666.666666666668</v>
      </c>
      <c r="J109" s="2">
        <v>4000</v>
      </c>
      <c r="K109" s="2">
        <v>720</v>
      </c>
    </row>
    <row r="110" spans="1:11" x14ac:dyDescent="0.2">
      <c r="A110" s="7">
        <v>109</v>
      </c>
      <c r="B110" s="15" t="s">
        <v>154</v>
      </c>
      <c r="C110" s="15" t="s">
        <v>153</v>
      </c>
      <c r="D110" s="15" t="s">
        <v>152</v>
      </c>
      <c r="E110" s="14"/>
      <c r="F110" s="13">
        <v>135000</v>
      </c>
      <c r="G110" s="22">
        <f>I110/4</f>
        <v>11250</v>
      </c>
      <c r="H110" s="8">
        <f t="shared" si="4"/>
        <v>90000</v>
      </c>
      <c r="I110" s="22">
        <f t="shared" si="5"/>
        <v>45000</v>
      </c>
      <c r="J110" s="2">
        <v>4000</v>
      </c>
      <c r="K110" s="2">
        <v>720</v>
      </c>
    </row>
    <row r="111" spans="1:11" x14ac:dyDescent="0.2">
      <c r="A111" s="7">
        <v>110</v>
      </c>
      <c r="B111" s="15" t="s">
        <v>125</v>
      </c>
      <c r="C111" s="15" t="s">
        <v>5</v>
      </c>
      <c r="D111" s="15" t="s">
        <v>131</v>
      </c>
      <c r="E111" s="14"/>
      <c r="F111" s="13">
        <v>110000</v>
      </c>
      <c r="G111" s="22">
        <f>I111/4</f>
        <v>9166.6666666666661</v>
      </c>
      <c r="H111" s="8">
        <f t="shared" si="4"/>
        <v>73333.333333333328</v>
      </c>
      <c r="I111" s="22">
        <f t="shared" si="5"/>
        <v>36666.666666666664</v>
      </c>
      <c r="J111" s="2">
        <v>4000</v>
      </c>
      <c r="K111" s="2">
        <v>720</v>
      </c>
    </row>
    <row r="112" spans="1:11" x14ac:dyDescent="0.2">
      <c r="A112" s="12">
        <v>111</v>
      </c>
      <c r="B112" s="11" t="s">
        <v>4</v>
      </c>
      <c r="C112" s="11" t="s">
        <v>73</v>
      </c>
      <c r="D112" s="11" t="s">
        <v>151</v>
      </c>
      <c r="E112" s="10"/>
      <c r="F112" s="9">
        <v>69250</v>
      </c>
      <c r="G112" s="22">
        <f>I112/4</f>
        <v>5770.833333333333</v>
      </c>
      <c r="H112" s="8">
        <f t="shared" si="4"/>
        <v>46166.666666666664</v>
      </c>
      <c r="I112" s="22">
        <f t="shared" si="5"/>
        <v>23083.333333333332</v>
      </c>
      <c r="J112" s="2">
        <v>4000</v>
      </c>
      <c r="K112" s="2">
        <v>720</v>
      </c>
    </row>
    <row r="113" spans="1:11" x14ac:dyDescent="0.2">
      <c r="A113" s="7">
        <v>112</v>
      </c>
      <c r="B113" s="6" t="s">
        <v>88</v>
      </c>
      <c r="C113" s="6" t="s">
        <v>18</v>
      </c>
      <c r="D113" s="6" t="s">
        <v>89</v>
      </c>
      <c r="E113" s="6" t="s">
        <v>13</v>
      </c>
      <c r="F113" s="5">
        <v>36000</v>
      </c>
      <c r="G113" s="2">
        <f>I113/4</f>
        <v>3000</v>
      </c>
      <c r="H113" s="22">
        <f t="shared" si="4"/>
        <v>24000</v>
      </c>
      <c r="I113" s="2">
        <f t="shared" si="5"/>
        <v>12000</v>
      </c>
      <c r="J113" s="2">
        <v>4000</v>
      </c>
      <c r="K113" s="2">
        <v>720</v>
      </c>
    </row>
    <row r="114" spans="1:11" x14ac:dyDescent="0.2">
      <c r="A114" s="7">
        <v>113</v>
      </c>
      <c r="B114" s="6" t="s">
        <v>4</v>
      </c>
      <c r="C114" s="6" t="s">
        <v>5</v>
      </c>
      <c r="D114" s="6" t="s">
        <v>150</v>
      </c>
      <c r="E114" s="6" t="s">
        <v>3</v>
      </c>
      <c r="F114" s="5">
        <v>33000</v>
      </c>
      <c r="G114" s="2">
        <f>I114/4</f>
        <v>2750</v>
      </c>
      <c r="H114" s="8">
        <f t="shared" si="4"/>
        <v>22000</v>
      </c>
      <c r="I114" s="2">
        <f t="shared" si="5"/>
        <v>11000</v>
      </c>
      <c r="J114" s="2">
        <v>4000</v>
      </c>
      <c r="K114" s="2">
        <v>720</v>
      </c>
    </row>
    <row r="115" spans="1:11" x14ac:dyDescent="0.2">
      <c r="A115" s="7">
        <v>114</v>
      </c>
      <c r="B115" s="6" t="s">
        <v>4</v>
      </c>
      <c r="C115" s="6" t="s">
        <v>5</v>
      </c>
      <c r="D115" s="6" t="s">
        <v>149</v>
      </c>
      <c r="E115" s="6" t="s">
        <v>3</v>
      </c>
      <c r="F115" s="5">
        <v>33000</v>
      </c>
      <c r="G115" s="2">
        <f>I115/4</f>
        <v>2750</v>
      </c>
      <c r="H115" s="8">
        <f t="shared" si="4"/>
        <v>22000</v>
      </c>
      <c r="I115" s="2">
        <f t="shared" si="5"/>
        <v>11000</v>
      </c>
      <c r="J115" s="2">
        <v>4000</v>
      </c>
      <c r="K115" s="2">
        <v>720</v>
      </c>
    </row>
    <row r="116" spans="1:11" x14ac:dyDescent="0.2">
      <c r="A116" s="7">
        <v>115</v>
      </c>
      <c r="B116" s="6" t="s">
        <v>4</v>
      </c>
      <c r="C116" s="6" t="s">
        <v>5</v>
      </c>
      <c r="D116" s="6" t="s">
        <v>149</v>
      </c>
      <c r="E116" s="6" t="s">
        <v>3</v>
      </c>
      <c r="F116" s="5">
        <v>33000</v>
      </c>
      <c r="G116" s="2">
        <f>I116/4</f>
        <v>2750</v>
      </c>
      <c r="H116" s="8">
        <f t="shared" si="4"/>
        <v>22000</v>
      </c>
      <c r="I116" s="2">
        <f t="shared" si="5"/>
        <v>11000</v>
      </c>
      <c r="J116" s="2">
        <v>4000</v>
      </c>
      <c r="K116" s="2">
        <v>720</v>
      </c>
    </row>
    <row r="117" spans="1:11" x14ac:dyDescent="0.2">
      <c r="A117" s="7">
        <v>116</v>
      </c>
      <c r="B117" s="6" t="s">
        <v>148</v>
      </c>
      <c r="C117" s="6" t="s">
        <v>147</v>
      </c>
      <c r="D117" s="6" t="s">
        <v>146</v>
      </c>
      <c r="E117" s="6"/>
      <c r="F117" s="5">
        <v>5000</v>
      </c>
      <c r="G117" s="2">
        <f>I117/4</f>
        <v>416.66666666666669</v>
      </c>
      <c r="H117" s="8">
        <f t="shared" si="4"/>
        <v>3333.3333333333335</v>
      </c>
      <c r="I117" s="2">
        <f t="shared" si="5"/>
        <v>1666.6666666666667</v>
      </c>
      <c r="J117" s="2">
        <v>4000</v>
      </c>
      <c r="K117" s="2">
        <v>720</v>
      </c>
    </row>
    <row r="118" spans="1:11" x14ac:dyDescent="0.2">
      <c r="A118" s="7">
        <v>117</v>
      </c>
      <c r="B118" s="6" t="s">
        <v>24</v>
      </c>
      <c r="C118" s="6" t="s">
        <v>25</v>
      </c>
      <c r="D118" s="6" t="s">
        <v>26</v>
      </c>
      <c r="E118" s="6" t="s">
        <v>3</v>
      </c>
      <c r="F118" s="5">
        <v>80000</v>
      </c>
      <c r="G118" s="2">
        <f>I118/4</f>
        <v>6666.666666666667</v>
      </c>
      <c r="H118" s="8">
        <f t="shared" si="4"/>
        <v>53333.333333333336</v>
      </c>
      <c r="I118" s="2">
        <f t="shared" si="5"/>
        <v>26666.666666666668</v>
      </c>
      <c r="J118" s="2">
        <v>4000</v>
      </c>
      <c r="K118" s="2">
        <v>720</v>
      </c>
    </row>
    <row r="119" spans="1:11" x14ac:dyDescent="0.2">
      <c r="A119" s="7">
        <v>118</v>
      </c>
      <c r="B119" s="6" t="s">
        <v>27</v>
      </c>
      <c r="C119" s="6" t="s">
        <v>25</v>
      </c>
      <c r="D119" s="6" t="s">
        <v>28</v>
      </c>
      <c r="E119" s="6" t="s">
        <v>13</v>
      </c>
      <c r="F119" s="5">
        <v>55000</v>
      </c>
      <c r="G119" s="2">
        <f>I119/4</f>
        <v>4583.333333333333</v>
      </c>
      <c r="H119" s="8">
        <f t="shared" si="4"/>
        <v>36666.666666666664</v>
      </c>
      <c r="I119" s="2">
        <f t="shared" si="5"/>
        <v>18333.333333333332</v>
      </c>
      <c r="J119" s="2">
        <v>4000</v>
      </c>
      <c r="K119" s="2">
        <v>720</v>
      </c>
    </row>
    <row r="120" spans="1:11" x14ac:dyDescent="0.2">
      <c r="A120" s="7">
        <v>119</v>
      </c>
      <c r="B120" s="6" t="s">
        <v>4</v>
      </c>
      <c r="C120" s="6" t="s">
        <v>5</v>
      </c>
      <c r="D120" s="6" t="s">
        <v>145</v>
      </c>
      <c r="E120" s="6" t="s">
        <v>3</v>
      </c>
      <c r="F120" s="5">
        <v>34000</v>
      </c>
      <c r="G120" s="2">
        <f>I120/4</f>
        <v>2833.3333333333335</v>
      </c>
      <c r="H120" s="8">
        <f t="shared" si="4"/>
        <v>22666.666666666668</v>
      </c>
      <c r="I120" s="2">
        <f t="shared" si="5"/>
        <v>11333.333333333334</v>
      </c>
      <c r="J120" s="2">
        <v>4000</v>
      </c>
      <c r="K120" s="2">
        <v>720</v>
      </c>
    </row>
    <row r="121" spans="1:11" x14ac:dyDescent="0.2">
      <c r="A121" s="4">
        <v>120</v>
      </c>
      <c r="B121" s="1" t="s">
        <v>7</v>
      </c>
      <c r="C121" s="1" t="s">
        <v>10</v>
      </c>
      <c r="D121" s="1" t="s">
        <v>11</v>
      </c>
      <c r="E121" s="1" t="s">
        <v>3</v>
      </c>
      <c r="F121" s="3">
        <v>28000</v>
      </c>
      <c r="G121" s="2">
        <f>I121/4</f>
        <v>2333.3333333333335</v>
      </c>
      <c r="H121" s="8">
        <f t="shared" si="4"/>
        <v>18666.666666666668</v>
      </c>
      <c r="I121" s="2">
        <f t="shared" si="5"/>
        <v>9333.3333333333339</v>
      </c>
      <c r="J121" s="2">
        <v>4000</v>
      </c>
      <c r="K121" s="2">
        <v>720</v>
      </c>
    </row>
    <row r="122" spans="1:11" x14ac:dyDescent="0.2">
      <c r="A122" s="4">
        <v>121</v>
      </c>
      <c r="B122" s="1" t="s">
        <v>142</v>
      </c>
      <c r="C122" s="1" t="s">
        <v>257</v>
      </c>
      <c r="D122" s="1" t="s">
        <v>143</v>
      </c>
      <c r="F122" s="3">
        <v>5500</v>
      </c>
      <c r="G122" s="2">
        <f>I122/4</f>
        <v>458.33333333333331</v>
      </c>
      <c r="H122" s="8">
        <f t="shared" si="4"/>
        <v>3666.6666666666665</v>
      </c>
      <c r="I122" s="2">
        <f t="shared" si="5"/>
        <v>1833.3333333333333</v>
      </c>
      <c r="J122" s="2">
        <v>4000</v>
      </c>
      <c r="K122" s="2">
        <v>720</v>
      </c>
    </row>
    <row r="123" spans="1:11" x14ac:dyDescent="0.2">
      <c r="A123" s="4">
        <v>122</v>
      </c>
      <c r="B123" s="1" t="s">
        <v>44</v>
      </c>
      <c r="C123" s="1" t="s">
        <v>5</v>
      </c>
      <c r="D123" s="1" t="s">
        <v>130</v>
      </c>
      <c r="E123" s="1" t="s">
        <v>13</v>
      </c>
      <c r="F123" s="3">
        <v>90000</v>
      </c>
      <c r="G123" s="2">
        <f>I123/4</f>
        <v>7500</v>
      </c>
      <c r="H123" s="8">
        <f t="shared" si="4"/>
        <v>60000</v>
      </c>
      <c r="I123" s="2">
        <f t="shared" si="5"/>
        <v>30000</v>
      </c>
      <c r="J123" s="2">
        <v>4000</v>
      </c>
      <c r="K123" s="2">
        <v>720</v>
      </c>
    </row>
    <row r="124" spans="1:11" x14ac:dyDescent="0.2">
      <c r="A124" s="4">
        <v>123</v>
      </c>
      <c r="B124" s="1" t="s">
        <v>44</v>
      </c>
      <c r="C124" s="1" t="s">
        <v>25</v>
      </c>
      <c r="D124" s="1" t="s">
        <v>122</v>
      </c>
      <c r="E124" s="1" t="s">
        <v>13</v>
      </c>
      <c r="F124" s="3">
        <v>65000</v>
      </c>
      <c r="G124" s="2">
        <f>I124/4</f>
        <v>5416.666666666667</v>
      </c>
      <c r="H124" s="8">
        <f t="shared" si="4"/>
        <v>43333.333333333336</v>
      </c>
      <c r="I124" s="2">
        <f t="shared" si="5"/>
        <v>21666.666666666668</v>
      </c>
      <c r="J124" s="2">
        <v>4000</v>
      </c>
      <c r="K124" s="2">
        <v>720</v>
      </c>
    </row>
    <row r="125" spans="1:11" x14ac:dyDescent="0.2">
      <c r="A125" s="4">
        <v>124</v>
      </c>
      <c r="B125" s="1" t="s">
        <v>7</v>
      </c>
      <c r="C125" s="1" t="s">
        <v>5</v>
      </c>
      <c r="D125" s="1" t="s">
        <v>128</v>
      </c>
      <c r="E125" s="1" t="s">
        <v>3</v>
      </c>
      <c r="F125" s="3">
        <v>18000</v>
      </c>
      <c r="G125" s="2">
        <f>I125/4</f>
        <v>1500</v>
      </c>
      <c r="H125" s="8">
        <f t="shared" si="4"/>
        <v>12000</v>
      </c>
      <c r="I125" s="2">
        <f t="shared" si="5"/>
        <v>6000</v>
      </c>
      <c r="J125" s="2">
        <v>4000</v>
      </c>
      <c r="K125" s="2">
        <v>720</v>
      </c>
    </row>
    <row r="126" spans="1:11" x14ac:dyDescent="0.2">
      <c r="A126" s="4">
        <v>125</v>
      </c>
      <c r="B126" s="1" t="s">
        <v>7</v>
      </c>
      <c r="C126" s="1" t="s">
        <v>5</v>
      </c>
      <c r="D126" s="1" t="s">
        <v>129</v>
      </c>
      <c r="E126" s="1" t="s">
        <v>3</v>
      </c>
      <c r="F126" s="3">
        <v>18500</v>
      </c>
      <c r="G126" s="2">
        <f>I126/4</f>
        <v>1541.6666666666667</v>
      </c>
      <c r="H126" s="8">
        <f t="shared" si="4"/>
        <v>12333.333333333334</v>
      </c>
      <c r="I126" s="2">
        <f t="shared" si="5"/>
        <v>6166.666666666667</v>
      </c>
      <c r="J126" s="2">
        <v>4000</v>
      </c>
      <c r="K126" s="2">
        <v>720</v>
      </c>
    </row>
    <row r="127" spans="1:11" x14ac:dyDescent="0.2">
      <c r="A127" s="4">
        <v>126</v>
      </c>
      <c r="B127" s="1" t="s">
        <v>7</v>
      </c>
      <c r="C127" s="1" t="s">
        <v>5</v>
      </c>
      <c r="D127" s="1" t="s">
        <v>109</v>
      </c>
      <c r="E127" s="1" t="s">
        <v>3</v>
      </c>
      <c r="F127" s="3">
        <v>35000</v>
      </c>
      <c r="G127" s="2">
        <f>I127/4</f>
        <v>2916.6666666666665</v>
      </c>
      <c r="H127" s="8">
        <f t="shared" si="4"/>
        <v>23333.333333333332</v>
      </c>
      <c r="I127" s="2">
        <f t="shared" si="5"/>
        <v>11666.666666666666</v>
      </c>
      <c r="J127" s="2">
        <v>4000</v>
      </c>
      <c r="K127" s="2">
        <v>720</v>
      </c>
    </row>
    <row r="128" spans="1:11" x14ac:dyDescent="0.2">
      <c r="A128" s="4">
        <v>127</v>
      </c>
      <c r="B128" s="1" t="s">
        <v>132</v>
      </c>
      <c r="C128" s="1" t="s">
        <v>10</v>
      </c>
      <c r="D128" s="1" t="s">
        <v>133</v>
      </c>
      <c r="E128" s="1" t="s">
        <v>3</v>
      </c>
      <c r="F128" s="3">
        <v>22000</v>
      </c>
      <c r="G128" s="2">
        <f>I128/4</f>
        <v>1833.3333333333333</v>
      </c>
      <c r="H128" s="8">
        <f t="shared" si="4"/>
        <v>14666.666666666666</v>
      </c>
      <c r="I128" s="2">
        <f t="shared" si="5"/>
        <v>7333.333333333333</v>
      </c>
      <c r="J128" s="2">
        <v>4000</v>
      </c>
      <c r="K128" s="2">
        <v>720</v>
      </c>
    </row>
    <row r="129" spans="1:11" x14ac:dyDescent="0.2">
      <c r="A129" s="4">
        <v>128</v>
      </c>
      <c r="B129" s="1" t="s">
        <v>7</v>
      </c>
      <c r="C129" s="1" t="s">
        <v>10</v>
      </c>
      <c r="D129" s="1" t="s">
        <v>12</v>
      </c>
      <c r="E129" s="1" t="s">
        <v>3</v>
      </c>
      <c r="F129" s="3">
        <v>28000</v>
      </c>
      <c r="G129" s="2">
        <f>I129/4</f>
        <v>2333.3333333333335</v>
      </c>
      <c r="H129" s="1">
        <f t="shared" si="4"/>
        <v>18666.666666666668</v>
      </c>
      <c r="I129" s="2">
        <f t="shared" si="5"/>
        <v>9333.3333333333339</v>
      </c>
      <c r="J129" s="2">
        <v>4000</v>
      </c>
      <c r="K129" s="2">
        <v>720</v>
      </c>
    </row>
    <row r="130" spans="1:11" x14ac:dyDescent="0.2">
      <c r="A130" s="4">
        <v>129</v>
      </c>
      <c r="B130" s="1" t="s">
        <v>44</v>
      </c>
      <c r="C130" s="1" t="s">
        <v>73</v>
      </c>
      <c r="D130" s="1" t="s">
        <v>116</v>
      </c>
      <c r="E130" s="1" t="s">
        <v>13</v>
      </c>
      <c r="F130" s="3">
        <v>55000</v>
      </c>
      <c r="G130" s="2">
        <f>I130/4</f>
        <v>4583.333333333333</v>
      </c>
      <c r="H130" s="1">
        <f t="shared" si="4"/>
        <v>36666.666666666664</v>
      </c>
      <c r="I130" s="2">
        <f t="shared" si="5"/>
        <v>18333.333333333332</v>
      </c>
      <c r="J130" s="2">
        <v>4000</v>
      </c>
      <c r="K130" s="2">
        <v>720</v>
      </c>
    </row>
    <row r="131" spans="1:11" x14ac:dyDescent="0.2">
      <c r="A131" s="4">
        <v>130</v>
      </c>
      <c r="B131" s="1" t="s">
        <v>17</v>
      </c>
      <c r="C131" s="1" t="s">
        <v>18</v>
      </c>
      <c r="D131" s="1" t="s">
        <v>19</v>
      </c>
      <c r="E131" s="1" t="s">
        <v>13</v>
      </c>
      <c r="F131" s="3">
        <v>36000</v>
      </c>
      <c r="G131" s="2">
        <f>I131/4</f>
        <v>3000</v>
      </c>
      <c r="H131" s="1">
        <f t="shared" si="4"/>
        <v>24000</v>
      </c>
      <c r="I131" s="2">
        <f t="shared" ref="I131:I150" si="6">F131/3</f>
        <v>12000</v>
      </c>
      <c r="J131" s="2">
        <v>4000</v>
      </c>
      <c r="K131" s="2">
        <v>720</v>
      </c>
    </row>
    <row r="132" spans="1:11" x14ac:dyDescent="0.2">
      <c r="A132" s="4">
        <v>131</v>
      </c>
      <c r="B132" s="1" t="s">
        <v>20</v>
      </c>
      <c r="C132" s="1" t="s">
        <v>18</v>
      </c>
      <c r="D132" s="1" t="s">
        <v>21</v>
      </c>
      <c r="E132" s="1" t="s">
        <v>13</v>
      </c>
      <c r="F132" s="3">
        <v>33000</v>
      </c>
      <c r="G132" s="2">
        <f>I132/4</f>
        <v>2750</v>
      </c>
      <c r="H132" s="2">
        <f t="shared" ref="H132:H152" si="7">+I132*2</f>
        <v>22000</v>
      </c>
      <c r="I132" s="2">
        <f t="shared" si="6"/>
        <v>11000</v>
      </c>
      <c r="J132" s="2">
        <v>4000</v>
      </c>
      <c r="K132" s="2">
        <v>720</v>
      </c>
    </row>
    <row r="133" spans="1:11" x14ac:dyDescent="0.2">
      <c r="A133" s="4">
        <v>132</v>
      </c>
      <c r="B133" s="1" t="s">
        <v>20</v>
      </c>
      <c r="C133" s="1" t="s">
        <v>18</v>
      </c>
      <c r="D133" s="1" t="s">
        <v>104</v>
      </c>
      <c r="E133" s="1" t="s">
        <v>13</v>
      </c>
      <c r="F133" s="3">
        <v>33000</v>
      </c>
      <c r="G133" s="2">
        <f>I133/4</f>
        <v>2750</v>
      </c>
      <c r="H133" s="1">
        <f t="shared" si="7"/>
        <v>22000</v>
      </c>
      <c r="I133" s="2">
        <f t="shared" si="6"/>
        <v>11000</v>
      </c>
      <c r="J133" s="2">
        <v>4000</v>
      </c>
      <c r="K133" s="2">
        <v>720</v>
      </c>
    </row>
    <row r="134" spans="1:11" x14ac:dyDescent="0.2">
      <c r="A134" s="4">
        <v>133</v>
      </c>
      <c r="B134" s="1" t="s">
        <v>112</v>
      </c>
      <c r="C134" s="1" t="s">
        <v>18</v>
      </c>
      <c r="D134" s="1" t="s">
        <v>113</v>
      </c>
      <c r="E134" s="1" t="s">
        <v>13</v>
      </c>
      <c r="F134" s="3">
        <v>30000</v>
      </c>
      <c r="G134" s="2">
        <f>I134/4</f>
        <v>2500</v>
      </c>
      <c r="H134" s="1">
        <f t="shared" si="7"/>
        <v>20000</v>
      </c>
      <c r="I134" s="2">
        <f t="shared" si="6"/>
        <v>10000</v>
      </c>
      <c r="J134" s="2">
        <v>4000</v>
      </c>
      <c r="K134" s="2">
        <v>720</v>
      </c>
    </row>
    <row r="135" spans="1:11" x14ac:dyDescent="0.2">
      <c r="A135" s="4">
        <v>134</v>
      </c>
      <c r="B135" s="1" t="s">
        <v>20</v>
      </c>
      <c r="C135" s="1" t="s">
        <v>18</v>
      </c>
      <c r="D135" s="1" t="s">
        <v>114</v>
      </c>
      <c r="E135" s="1" t="s">
        <v>13</v>
      </c>
      <c r="F135" s="3">
        <v>33000</v>
      </c>
      <c r="G135" s="2">
        <f>I135/4</f>
        <v>2750</v>
      </c>
      <c r="H135" s="1">
        <f t="shared" si="7"/>
        <v>22000</v>
      </c>
      <c r="I135" s="2">
        <f t="shared" si="6"/>
        <v>11000</v>
      </c>
      <c r="J135" s="2">
        <v>4000</v>
      </c>
      <c r="K135" s="2">
        <v>720</v>
      </c>
    </row>
    <row r="136" spans="1:11" x14ac:dyDescent="0.2">
      <c r="A136" s="4">
        <v>135</v>
      </c>
      <c r="B136" s="1" t="s">
        <v>14</v>
      </c>
      <c r="C136" s="1" t="s">
        <v>15</v>
      </c>
      <c r="D136" s="1" t="s">
        <v>16</v>
      </c>
      <c r="E136" s="1" t="s">
        <v>13</v>
      </c>
      <c r="F136" s="3">
        <v>51000</v>
      </c>
      <c r="G136" s="2">
        <f>I136/4</f>
        <v>4250</v>
      </c>
      <c r="H136" s="1">
        <f t="shared" si="7"/>
        <v>34000</v>
      </c>
      <c r="I136" s="2">
        <f t="shared" si="6"/>
        <v>17000</v>
      </c>
      <c r="J136" s="2">
        <v>4000</v>
      </c>
      <c r="K136" s="2">
        <v>720</v>
      </c>
    </row>
    <row r="137" spans="1:11" x14ac:dyDescent="0.2">
      <c r="A137" s="4">
        <v>136</v>
      </c>
      <c r="B137" s="1" t="s">
        <v>102</v>
      </c>
      <c r="C137" s="1" t="s">
        <v>18</v>
      </c>
      <c r="D137" s="1" t="s">
        <v>103</v>
      </c>
      <c r="E137" s="1" t="s">
        <v>13</v>
      </c>
      <c r="F137" s="3">
        <v>35000</v>
      </c>
      <c r="G137" s="2">
        <f>I137/4</f>
        <v>2916.6666666666665</v>
      </c>
      <c r="H137" s="1">
        <f t="shared" si="7"/>
        <v>23333.333333333332</v>
      </c>
      <c r="I137" s="2">
        <f t="shared" si="6"/>
        <v>11666.666666666666</v>
      </c>
      <c r="J137" s="2">
        <v>4000</v>
      </c>
      <c r="K137" s="2">
        <v>720</v>
      </c>
    </row>
    <row r="138" spans="1:11" x14ac:dyDescent="0.2">
      <c r="A138" s="4">
        <v>137</v>
      </c>
      <c r="B138" s="1" t="s">
        <v>23</v>
      </c>
      <c r="C138" s="1" t="s">
        <v>5</v>
      </c>
      <c r="D138" s="1" t="s">
        <v>134</v>
      </c>
      <c r="E138" s="1" t="s">
        <v>13</v>
      </c>
      <c r="F138" s="3">
        <v>40000</v>
      </c>
      <c r="G138" s="2">
        <f>I138/4</f>
        <v>3333.3333333333335</v>
      </c>
      <c r="H138" s="1">
        <f t="shared" si="7"/>
        <v>26666.666666666668</v>
      </c>
      <c r="I138" s="2">
        <f t="shared" si="6"/>
        <v>13333.333333333334</v>
      </c>
      <c r="J138" s="2">
        <v>4000</v>
      </c>
      <c r="K138" s="2">
        <v>720</v>
      </c>
    </row>
    <row r="139" spans="1:11" x14ac:dyDescent="0.2">
      <c r="A139" s="4">
        <v>138</v>
      </c>
      <c r="B139" s="1" t="s">
        <v>7</v>
      </c>
      <c r="C139" s="1" t="s">
        <v>73</v>
      </c>
      <c r="D139" s="1" t="s">
        <v>124</v>
      </c>
      <c r="E139" s="1" t="s">
        <v>3</v>
      </c>
      <c r="F139" s="3">
        <v>30000</v>
      </c>
      <c r="G139" s="2">
        <f>I139/4</f>
        <v>2500</v>
      </c>
      <c r="H139" s="1">
        <f t="shared" si="7"/>
        <v>20000</v>
      </c>
      <c r="I139" s="2">
        <f t="shared" si="6"/>
        <v>10000</v>
      </c>
      <c r="J139" s="2">
        <v>4000</v>
      </c>
      <c r="K139" s="2">
        <v>720</v>
      </c>
    </row>
    <row r="140" spans="1:11" x14ac:dyDescent="0.2">
      <c r="A140" s="4">
        <v>139</v>
      </c>
      <c r="B140" s="1" t="s">
        <v>132</v>
      </c>
      <c r="C140" s="1" t="s">
        <v>10</v>
      </c>
      <c r="D140" s="1" t="s">
        <v>135</v>
      </c>
      <c r="E140" s="1" t="s">
        <v>3</v>
      </c>
      <c r="F140" s="3">
        <v>22000</v>
      </c>
      <c r="G140" s="2">
        <f>I140/4</f>
        <v>1833.3333333333333</v>
      </c>
      <c r="H140" s="1">
        <f t="shared" si="7"/>
        <v>14666.666666666666</v>
      </c>
      <c r="I140" s="2">
        <f t="shared" si="6"/>
        <v>7333.333333333333</v>
      </c>
      <c r="J140" s="2">
        <v>4000</v>
      </c>
      <c r="K140" s="2">
        <v>720</v>
      </c>
    </row>
    <row r="141" spans="1:11" x14ac:dyDescent="0.2">
      <c r="A141" s="4">
        <v>140</v>
      </c>
      <c r="B141" s="1" t="s">
        <v>119</v>
      </c>
      <c r="C141" s="1" t="s">
        <v>120</v>
      </c>
      <c r="D141" s="1" t="s">
        <v>121</v>
      </c>
      <c r="E141" s="1" t="s">
        <v>13</v>
      </c>
      <c r="F141" s="3">
        <v>15000</v>
      </c>
      <c r="G141" s="2">
        <f>I141/4</f>
        <v>1250</v>
      </c>
      <c r="H141" s="1">
        <f t="shared" si="7"/>
        <v>10000</v>
      </c>
      <c r="I141" s="2">
        <f t="shared" si="6"/>
        <v>5000</v>
      </c>
      <c r="J141" s="2">
        <v>4000</v>
      </c>
      <c r="K141" s="2">
        <v>720</v>
      </c>
    </row>
    <row r="142" spans="1:11" x14ac:dyDescent="0.2">
      <c r="A142" s="4">
        <v>141</v>
      </c>
      <c r="B142" s="1" t="s">
        <v>105</v>
      </c>
      <c r="C142" s="1" t="s">
        <v>108</v>
      </c>
      <c r="D142" s="1" t="s">
        <v>115</v>
      </c>
      <c r="E142" s="1" t="s">
        <v>13</v>
      </c>
      <c r="F142" s="3">
        <v>48000</v>
      </c>
      <c r="G142" s="2">
        <f>I142/4</f>
        <v>4000</v>
      </c>
      <c r="H142" s="1">
        <f t="shared" si="7"/>
        <v>32000</v>
      </c>
      <c r="I142" s="2">
        <f t="shared" si="6"/>
        <v>16000</v>
      </c>
      <c r="J142" s="2">
        <v>4000</v>
      </c>
      <c r="K142" s="2">
        <v>720</v>
      </c>
    </row>
    <row r="143" spans="1:11" x14ac:dyDescent="0.2">
      <c r="A143" s="4">
        <v>142</v>
      </c>
      <c r="B143" s="1" t="s">
        <v>105</v>
      </c>
      <c r="C143" s="1" t="s">
        <v>106</v>
      </c>
      <c r="D143" s="1" t="s">
        <v>118</v>
      </c>
      <c r="E143" s="1" t="s">
        <v>13</v>
      </c>
      <c r="F143" s="3">
        <v>29000</v>
      </c>
      <c r="G143" s="2">
        <f>I143/4</f>
        <v>2416.6666666666665</v>
      </c>
      <c r="H143" s="1">
        <f t="shared" si="7"/>
        <v>19333.333333333332</v>
      </c>
      <c r="I143" s="2">
        <f t="shared" si="6"/>
        <v>9666.6666666666661</v>
      </c>
      <c r="J143" s="2">
        <v>4000</v>
      </c>
      <c r="K143" s="2">
        <v>720</v>
      </c>
    </row>
    <row r="144" spans="1:11" x14ac:dyDescent="0.2">
      <c r="A144" s="4">
        <v>143</v>
      </c>
      <c r="B144" s="1" t="s">
        <v>125</v>
      </c>
      <c r="C144" s="1" t="s">
        <v>126</v>
      </c>
      <c r="D144" s="1" t="s">
        <v>127</v>
      </c>
      <c r="E144" s="1" t="s">
        <v>13</v>
      </c>
      <c r="F144" s="3">
        <v>92200</v>
      </c>
      <c r="G144" s="2">
        <f>I144/4</f>
        <v>7683.333333333333</v>
      </c>
      <c r="H144" s="1">
        <f t="shared" si="7"/>
        <v>61466.666666666664</v>
      </c>
      <c r="I144" s="2">
        <f t="shared" si="6"/>
        <v>30733.333333333332</v>
      </c>
      <c r="J144" s="2">
        <v>4000</v>
      </c>
      <c r="K144" s="2">
        <v>720</v>
      </c>
    </row>
    <row r="145" spans="1:11" x14ac:dyDescent="0.2">
      <c r="A145" s="4">
        <v>144</v>
      </c>
      <c r="B145" s="1" t="s">
        <v>95</v>
      </c>
      <c r="C145" s="1" t="s">
        <v>96</v>
      </c>
      <c r="D145" s="1" t="s">
        <v>97</v>
      </c>
      <c r="E145" s="1" t="s">
        <v>13</v>
      </c>
      <c r="F145" s="3">
        <v>58000</v>
      </c>
      <c r="G145" s="2">
        <f>I145/4</f>
        <v>4833.333333333333</v>
      </c>
      <c r="H145" s="1">
        <f t="shared" si="7"/>
        <v>38666.666666666664</v>
      </c>
      <c r="I145" s="2">
        <f t="shared" si="6"/>
        <v>19333.333333333332</v>
      </c>
      <c r="J145" s="2">
        <v>4000</v>
      </c>
      <c r="K145" s="2">
        <v>720</v>
      </c>
    </row>
    <row r="146" spans="1:11" x14ac:dyDescent="0.2">
      <c r="A146" s="4">
        <v>145</v>
      </c>
      <c r="B146" s="1" t="s">
        <v>136</v>
      </c>
      <c r="C146" s="1" t="s">
        <v>10</v>
      </c>
      <c r="D146" s="1" t="s">
        <v>137</v>
      </c>
      <c r="E146" s="1" t="s">
        <v>3</v>
      </c>
      <c r="F146" s="3">
        <v>65000</v>
      </c>
      <c r="G146" s="2">
        <f>I146/4</f>
        <v>5416.666666666667</v>
      </c>
      <c r="H146" s="2">
        <f t="shared" si="7"/>
        <v>43333.333333333336</v>
      </c>
      <c r="I146" s="2">
        <f t="shared" si="6"/>
        <v>21666.666666666668</v>
      </c>
      <c r="J146" s="2">
        <v>4000</v>
      </c>
      <c r="K146" s="2">
        <v>720</v>
      </c>
    </row>
    <row r="147" spans="1:11" x14ac:dyDescent="0.2">
      <c r="A147" s="4">
        <v>146</v>
      </c>
      <c r="B147" s="1" t="s">
        <v>4</v>
      </c>
      <c r="C147" s="1" t="s">
        <v>25</v>
      </c>
      <c r="D147" s="1" t="s">
        <v>139</v>
      </c>
      <c r="E147" s="1" t="s">
        <v>3</v>
      </c>
      <c r="F147" s="3">
        <v>31000</v>
      </c>
      <c r="G147" s="2">
        <f>I147/4</f>
        <v>2583.3333333333335</v>
      </c>
      <c r="H147" s="2">
        <f t="shared" si="7"/>
        <v>20666.666666666668</v>
      </c>
      <c r="I147" s="2">
        <f t="shared" si="6"/>
        <v>10333.333333333334</v>
      </c>
      <c r="J147" s="2">
        <v>4000</v>
      </c>
      <c r="K147" s="2">
        <v>720</v>
      </c>
    </row>
    <row r="148" spans="1:11" x14ac:dyDescent="0.2">
      <c r="A148" s="4">
        <v>147</v>
      </c>
      <c r="B148" s="1" t="s">
        <v>4</v>
      </c>
      <c r="C148" s="1" t="s">
        <v>10</v>
      </c>
      <c r="D148" s="1" t="s">
        <v>117</v>
      </c>
      <c r="E148" s="1" t="s">
        <v>3</v>
      </c>
      <c r="F148" s="3">
        <v>37000</v>
      </c>
      <c r="G148" s="2">
        <f>I148/4</f>
        <v>3083.3333333333335</v>
      </c>
      <c r="H148" s="2">
        <f t="shared" si="7"/>
        <v>24666.666666666668</v>
      </c>
      <c r="I148" s="2">
        <f t="shared" si="6"/>
        <v>12333.333333333334</v>
      </c>
      <c r="J148" s="2">
        <v>4000</v>
      </c>
      <c r="K148" s="2">
        <v>720</v>
      </c>
    </row>
    <row r="149" spans="1:11" x14ac:dyDescent="0.2">
      <c r="A149" s="4">
        <v>148</v>
      </c>
      <c r="B149" s="1" t="s">
        <v>23</v>
      </c>
      <c r="C149" s="1" t="s">
        <v>25</v>
      </c>
      <c r="D149" s="1" t="s">
        <v>123</v>
      </c>
      <c r="E149" s="1" t="s">
        <v>3</v>
      </c>
      <c r="F149" s="3">
        <v>18000</v>
      </c>
      <c r="G149" s="2">
        <f>I149/4</f>
        <v>1500</v>
      </c>
      <c r="H149" s="2">
        <f t="shared" si="7"/>
        <v>12000</v>
      </c>
      <c r="I149" s="2">
        <f t="shared" si="6"/>
        <v>6000</v>
      </c>
      <c r="J149" s="2">
        <v>4000</v>
      </c>
      <c r="K149" s="2">
        <v>720</v>
      </c>
    </row>
    <row r="150" spans="1:11" x14ac:dyDescent="0.2">
      <c r="A150" s="4">
        <v>149</v>
      </c>
      <c r="B150" s="1" t="s">
        <v>7</v>
      </c>
      <c r="C150" s="1" t="s">
        <v>10</v>
      </c>
      <c r="D150" s="1" t="s">
        <v>138</v>
      </c>
      <c r="E150" s="1" t="s">
        <v>3</v>
      </c>
      <c r="F150" s="3">
        <v>35000</v>
      </c>
      <c r="G150" s="2">
        <f>I150/4</f>
        <v>2916.6666666666665</v>
      </c>
      <c r="H150" s="2">
        <f t="shared" si="7"/>
        <v>23333.333333333332</v>
      </c>
      <c r="I150" s="2">
        <f t="shared" si="6"/>
        <v>11666.666666666666</v>
      </c>
      <c r="J150" s="2">
        <v>4000</v>
      </c>
      <c r="K150" s="2">
        <v>720</v>
      </c>
    </row>
    <row r="151" spans="1:11" x14ac:dyDescent="0.2">
      <c r="A151" s="4">
        <v>150</v>
      </c>
      <c r="B151" s="1" t="s">
        <v>7</v>
      </c>
      <c r="C151" s="1" t="s">
        <v>10</v>
      </c>
      <c r="D151" s="1" t="s">
        <v>140</v>
      </c>
      <c r="E151" s="1" t="s">
        <v>3</v>
      </c>
      <c r="F151" s="3">
        <v>18000</v>
      </c>
      <c r="G151" s="2">
        <f>I151/4</f>
        <v>1500</v>
      </c>
      <c r="H151" s="2">
        <f t="shared" si="7"/>
        <v>12000</v>
      </c>
      <c r="I151" s="2">
        <f t="shared" ref="I151:I152" si="8">F151/3</f>
        <v>6000</v>
      </c>
      <c r="J151" s="2">
        <v>4000</v>
      </c>
      <c r="K151" s="2">
        <v>720</v>
      </c>
    </row>
    <row r="152" spans="1:11" x14ac:dyDescent="0.2">
      <c r="A152" s="4">
        <v>151</v>
      </c>
      <c r="B152" s="1" t="s">
        <v>7</v>
      </c>
      <c r="C152" s="1" t="s">
        <v>10</v>
      </c>
      <c r="D152" s="1" t="s">
        <v>141</v>
      </c>
      <c r="E152" s="1" t="s">
        <v>3</v>
      </c>
      <c r="F152" s="3">
        <v>18000</v>
      </c>
      <c r="G152" s="2">
        <f>I152/4</f>
        <v>1500</v>
      </c>
      <c r="H152" s="2">
        <f t="shared" si="7"/>
        <v>12000</v>
      </c>
      <c r="I152" s="2">
        <f t="shared" si="8"/>
        <v>6000</v>
      </c>
      <c r="J152" s="2">
        <v>4000</v>
      </c>
      <c r="K152" s="2">
        <v>720</v>
      </c>
    </row>
    <row r="1048573" spans="10:10" x14ac:dyDescent="0.2">
      <c r="J1048573" s="2">
        <f>SUM(J2:J1048572)</f>
        <v>604000</v>
      </c>
    </row>
  </sheetData>
  <autoFilter ref="A1:I145" xr:uid="{D3E0E3A0-6BEC-4D31-A23F-AB0DA65459EC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4975E7-EE9A-4B83-9CBE-B3282DE865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PRECIOS POR MODELO</vt:lpstr>
      <vt:lpstr>'LISTA DE PRECIOS POR MODELO'!_FilterDatabase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COMYMAQ</dc:creator>
  <cp:lastModifiedBy>Ramiro Isai Reyna ibarra</cp:lastModifiedBy>
  <dcterms:created xsi:type="dcterms:W3CDTF">2015-06-05T18:19:34Z</dcterms:created>
  <dcterms:modified xsi:type="dcterms:W3CDTF">2025-12-17T01:29:16Z</dcterms:modified>
</cp:coreProperties>
</file>